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ELF\COC\mingriAgency\assets\"/>
    </mc:Choice>
  </mc:AlternateContent>
  <xr:revisionPtr revIDLastSave="0" documentId="8_{E3758B6B-21EB-4DE5-9F9C-62F59EE4AFFA}" xr6:coauthVersionLast="47" xr6:coauthVersionMax="47" xr10:uidLastSave="{00000000-0000-0000-0000-000000000000}"/>
  <bookViews>
    <workbookView xWindow="-120" yWindow="-120" windowWidth="29040" windowHeight="15720" xr2:uid="{E2413E47-E42C-4D54-9DC7-6A6926D94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5" i="1" l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<sst xmlns="http://schemas.openxmlformats.org/spreadsheetml/2006/main" count="1053" uniqueCount="304">
  <si>
    <t>武器类型</t>
  </si>
  <si>
    <t>技能</t>
  </si>
  <si>
    <t>伤害</t>
  </si>
  <si>
    <t>射程</t>
  </si>
  <si>
    <t>贯穿</t>
  </si>
  <si>
    <t>每轮</t>
  </si>
  <si>
    <t>装弹量</t>
  </si>
  <si>
    <t>故障值</t>
  </si>
  <si>
    <t>常见时代</t>
  </si>
  <si>
    <t>价格20s/现代($)</t>
  </si>
  <si>
    <t>发明时间</t>
  </si>
  <si>
    <t>类型</t>
  </si>
  <si>
    <t>弓</t>
  </si>
  <si>
    <t>1D6+半DB</t>
  </si>
  <si>
    <t>30码</t>
  </si>
  <si>
    <t>×</t>
  </si>
  <si>
    <t>1</t>
  </si>
  <si>
    <t>97</t>
  </si>
  <si>
    <t>1920s,现代</t>
  </si>
  <si>
    <t>7/75</t>
  </si>
  <si>
    <t>——</t>
  </si>
  <si>
    <t>常
规
武
器</t>
  </si>
  <si>
    <t>斗殴</t>
  </si>
  <si>
    <t>1D3+1+DB</t>
  </si>
  <si>
    <t>接触</t>
  </si>
  <si>
    <t>1/10</t>
  </si>
  <si>
    <t>鞭子</t>
  </si>
  <si>
    <t>1D3+半DB</t>
  </si>
  <si>
    <t>10英尺</t>
  </si>
  <si>
    <t>1920s</t>
  </si>
  <si>
    <t>5/50</t>
  </si>
  <si>
    <t>1D6+燃烧</t>
  </si>
  <si>
    <t>0.05/0.5</t>
  </si>
  <si>
    <t>电锯</t>
  </si>
  <si>
    <t>2D8</t>
  </si>
  <si>
    <t>√</t>
  </si>
  <si>
    <t>95</t>
  </si>
  <si>
    <t>现代</t>
  </si>
  <si>
    <t>——/300</t>
  </si>
  <si>
    <t>1926年</t>
  </si>
  <si>
    <t>1D8+DB</t>
  </si>
  <si>
    <t>2/15</t>
  </si>
  <si>
    <t>1940年</t>
  </si>
  <si>
    <t>3/35</t>
  </si>
  <si>
    <t>1D6+DB</t>
  </si>
  <si>
    <t>1D8+2</t>
  </si>
  <si>
    <t>50码</t>
  </si>
  <si>
    <t>1/2</t>
  </si>
  <si>
    <t>96</t>
  </si>
  <si>
    <t>10/100</t>
  </si>
  <si>
    <t>公元前210年</t>
  </si>
  <si>
    <t>绞具</t>
  </si>
  <si>
    <t>0.5/3</t>
  </si>
  <si>
    <t>斧</t>
  </si>
  <si>
    <t>1D6+1+DB</t>
  </si>
  <si>
    <t>3/9</t>
  </si>
  <si>
    <t>4/50</t>
  </si>
  <si>
    <t>1D4+2+DB</t>
  </si>
  <si>
    <t>1D4+DB</t>
  </si>
  <si>
    <t>2/6</t>
  </si>
  <si>
    <t>2D8+眩晕</t>
  </si>
  <si>
    <t>1894年</t>
  </si>
  <si>
    <t>眩晕</t>
  </si>
  <si>
    <t>6英尺</t>
  </si>
  <si>
    <t>25次</t>
  </si>
  <si>
    <t>——/10</t>
  </si>
  <si>
    <t>1912年</t>
  </si>
  <si>
    <t>链枷</t>
  </si>
  <si>
    <t>960年</t>
  </si>
  <si>
    <t>投掷</t>
  </si>
  <si>
    <t>1D4+半DB</t>
  </si>
  <si>
    <t>STR英尺</t>
  </si>
  <si>
    <t>20码</t>
  </si>
  <si>
    <t>2</t>
  </si>
  <si>
    <t>一次性</t>
  </si>
  <si>
    <t>100</t>
  </si>
  <si>
    <t>矛</t>
  </si>
  <si>
    <t>1D8+1</t>
  </si>
  <si>
    <t>25/150</t>
  </si>
  <si>
    <t>1D8+半DB</t>
  </si>
  <si>
    <t>STR码</t>
  </si>
  <si>
    <t>罕见</t>
  </si>
  <si>
    <t>1/25</t>
  </si>
  <si>
    <t>剑</t>
  </si>
  <si>
    <t>1D8+1+DB</t>
  </si>
  <si>
    <t>30/75</t>
  </si>
  <si>
    <t>15/100</t>
  </si>
  <si>
    <t>25/100</t>
  </si>
  <si>
    <t>1D3+眩晕</t>
  </si>
  <si>
    <t>——/200</t>
  </si>
  <si>
    <t>2006年</t>
  </si>
  <si>
    <t>手枪</t>
  </si>
  <si>
    <t>15英尺</t>
  </si>
  <si>
    <t>3</t>
  </si>
  <si>
    <t>——/400</t>
  </si>
  <si>
    <t>1974年</t>
  </si>
  <si>
    <t>2/4</t>
  </si>
  <si>
    <t>1D8+2+DB</t>
  </si>
  <si>
    <t>5/10</t>
  </si>
  <si>
    <t>1D6+1</t>
  </si>
  <si>
    <t>10</t>
  </si>
  <si>
    <t>1/4</t>
  </si>
  <si>
    <t>30/300</t>
  </si>
  <si>
    <t>1547年</t>
  </si>
  <si>
    <t>手
枪</t>
  </si>
  <si>
    <t>1D6</t>
  </si>
  <si>
    <t>1(3)</t>
  </si>
  <si>
    <t>6</t>
  </si>
  <si>
    <t>25/190</t>
  </si>
  <si>
    <t>1857年</t>
  </si>
  <si>
    <t>12/55</t>
  </si>
  <si>
    <t>1920年</t>
  </si>
  <si>
    <t>1D8</t>
  </si>
  <si>
    <t>15</t>
  </si>
  <si>
    <t>15/200</t>
  </si>
  <si>
    <t>1930年</t>
  </si>
  <si>
    <t>8</t>
  </si>
  <si>
    <t>99</t>
  </si>
  <si>
    <t>20/350</t>
  </si>
  <si>
    <t>1D8+1D4</t>
  </si>
  <si>
    <t>——/425</t>
  </si>
  <si>
    <t>1934年</t>
  </si>
  <si>
    <t>1D10</t>
  </si>
  <si>
    <t>25/200</t>
  </si>
  <si>
    <t>1898年</t>
  </si>
  <si>
    <t>30/375</t>
  </si>
  <si>
    <t>98</t>
  </si>
  <si>
    <t>——/500</t>
  </si>
  <si>
    <t>1990年</t>
  </si>
  <si>
    <t>17</t>
  </si>
  <si>
    <t>1983年</t>
  </si>
  <si>
    <t>75/600</t>
  </si>
  <si>
    <t>1902年</t>
  </si>
  <si>
    <t>1920s,罕见</t>
  </si>
  <si>
    <t>30/——</t>
  </si>
  <si>
    <t>1860年</t>
  </si>
  <si>
    <t>1D10+1D4+2</t>
  </si>
  <si>
    <t>1950年</t>
  </si>
  <si>
    <t>1D10+2</t>
  </si>
  <si>
    <t>1904年</t>
  </si>
  <si>
    <t>7</t>
  </si>
  <si>
    <t>40/375</t>
  </si>
  <si>
    <t>1D10+1D6+3</t>
  </si>
  <si>
    <t>94</t>
  </si>
  <si>
    <t>1982年</t>
  </si>
  <si>
    <t>步枪/霰弹枪</t>
  </si>
  <si>
    <t>1D10+4</t>
  </si>
  <si>
    <t>60</t>
  </si>
  <si>
    <t>25/350</t>
  </si>
  <si>
    <t>1885年</t>
  </si>
  <si>
    <t>步
枪</t>
  </si>
  <si>
    <t>30</t>
  </si>
  <si>
    <t>13/70</t>
  </si>
  <si>
    <t>2D6</t>
  </si>
  <si>
    <t>50</t>
  </si>
  <si>
    <t>19/150</t>
  </si>
  <si>
    <t>1952年</t>
  </si>
  <si>
    <t>1D8+1D6+3</t>
  </si>
  <si>
    <t>80</t>
  </si>
  <si>
    <t>1/3</t>
  </si>
  <si>
    <t>20/200</t>
  </si>
  <si>
    <t>1871年</t>
  </si>
  <si>
    <t>2D6+1</t>
  </si>
  <si>
    <t>20</t>
  </si>
  <si>
    <t>88</t>
  </si>
  <si>
    <t>200</t>
  </si>
  <si>
    <t>2D6+4</t>
  </si>
  <si>
    <t>110</t>
  </si>
  <si>
    <t>400</t>
  </si>
  <si>
    <t>1936年</t>
  </si>
  <si>
    <t>90</t>
  </si>
  <si>
    <t>1(2)</t>
  </si>
  <si>
    <t>500</t>
  </si>
  <si>
    <t>1945年</t>
  </si>
  <si>
    <t>50/300</t>
  </si>
  <si>
    <t>1895年</t>
  </si>
  <si>
    <t>5</t>
  </si>
  <si>
    <t>75/175</t>
  </si>
  <si>
    <t>275</t>
  </si>
  <si>
    <t>1955年</t>
  </si>
  <si>
    <t>2D8+4</t>
  </si>
  <si>
    <t>3D6+4</t>
  </si>
  <si>
    <t>1 or 2</t>
  </si>
  <si>
    <t>400/1000</t>
  </si>
  <si>
    <t>1890年</t>
  </si>
  <si>
    <t>霰
弹
枪</t>
  </si>
  <si>
    <t>2D6/1D6/1D3</t>
  </si>
  <si>
    <t>10/20/50</t>
  </si>
  <si>
    <t>35/稀有</t>
  </si>
  <si>
    <t>1914年</t>
  </si>
  <si>
    <t>2D6+2/1D6+1/1D4</t>
  </si>
  <si>
    <t>40/稀有</t>
  </si>
  <si>
    <t>4D6/2D6/1D6</t>
  </si>
  <si>
    <t>40/200</t>
  </si>
  <si>
    <t>1920s,现代</t>
    <phoneticPr fontId="0" type="noConversion"/>
  </si>
  <si>
    <t>45/100</t>
  </si>
  <si>
    <t>1980年</t>
  </si>
  <si>
    <t>4D6/1D6</t>
  </si>
  <si>
    <t>N/A</t>
  </si>
  <si>
    <t>1790年</t>
  </si>
  <si>
    <t>4D6+2/2D6+1/1D4</t>
  </si>
  <si>
    <t>稀有</t>
  </si>
  <si>
    <t>——/895</t>
  </si>
  <si>
    <t>1999年</t>
  </si>
  <si>
    <t>——/600</t>
  </si>
  <si>
    <t>1979年</t>
  </si>
  <si>
    <t>1(2)or全自动</t>
  </si>
  <si>
    <t>1951年</t>
  </si>
  <si>
    <t>突
击
步
枪</t>
  </si>
  <si>
    <t>——/1000</t>
  </si>
  <si>
    <t>2D10+1D8+6</t>
  </si>
  <si>
    <t>250</t>
  </si>
  <si>
    <t>11</t>
  </si>
  <si>
    <t>——/3000</t>
  </si>
  <si>
    <t>1989年</t>
  </si>
  <si>
    <t>1(2)or3连射</t>
  </si>
  <si>
    <t>——/1500</t>
  </si>
  <si>
    <t>1954年</t>
  </si>
  <si>
    <t>1(2)or连射</t>
  </si>
  <si>
    <t>——/2000</t>
  </si>
  <si>
    <t>1972年</t>
  </si>
  <si>
    <t>1964年</t>
  </si>
  <si>
    <t>1or3连射</t>
  </si>
  <si>
    <t>1994年</t>
  </si>
  <si>
    <t>——/1100</t>
  </si>
  <si>
    <t>1978年</t>
  </si>
  <si>
    <t>1or全自动</t>
  </si>
  <si>
    <t>——/2800</t>
  </si>
  <si>
    <t>1970年</t>
  </si>
  <si>
    <t>冲锋枪</t>
  </si>
  <si>
    <t>20/30/32</t>
  </si>
  <si>
    <t>1000/20000</t>
  </si>
  <si>
    <t>1917年</t>
  </si>
  <si>
    <t>冲
锋
枪</t>
  </si>
  <si>
    <t>15/30</t>
  </si>
  <si>
    <t>1966年</t>
  </si>
  <si>
    <t>1(3)or全自动</t>
  </si>
  <si>
    <t>32</t>
  </si>
  <si>
    <t>——/750</t>
  </si>
  <si>
    <t>1961年</t>
  </si>
  <si>
    <t>20/30/50</t>
  </si>
  <si>
    <t>200+/1600</t>
  </si>
  <si>
    <t>1938年</t>
  </si>
  <si>
    <t>机枪</t>
  </si>
  <si>
    <t>全自动</t>
  </si>
  <si>
    <t>2000/14000</t>
  </si>
  <si>
    <t>1882年</t>
  </si>
  <si>
    <t>机
枪</t>
  </si>
  <si>
    <t>800/1500</t>
  </si>
  <si>
    <t>150</t>
  </si>
  <si>
    <t>3000/30000</t>
  </si>
  <si>
    <t>1916年</t>
  </si>
  <si>
    <t>30/100</t>
  </si>
  <si>
    <t>3000/50000</t>
  </si>
  <si>
    <t>27/97</t>
  </si>
  <si>
    <t>3000/20000</t>
  </si>
  <si>
    <t>4000</t>
  </si>
  <si>
    <t>1963年</t>
  </si>
  <si>
    <t>30/200</t>
  </si>
  <si>
    <t>2D6+燃烧</t>
  </si>
  <si>
    <t>特
殊
武
器</t>
  </si>
  <si>
    <t>1D10+1D3+燃烧</t>
  </si>
  <si>
    <t>15/75</t>
  </si>
  <si>
    <t>1975年</t>
  </si>
  <si>
    <t>重武器</t>
  </si>
  <si>
    <t>3D10/2码</t>
  </si>
  <si>
    <t>4D10/3码</t>
  </si>
  <si>
    <t>2/5</t>
  </si>
  <si>
    <t>808年</t>
  </si>
  <si>
    <t>电气维修</t>
  </si>
  <si>
    <t>2D10/1码</t>
  </si>
  <si>
    <t>20/整盒</t>
  </si>
  <si>
    <t>1865年</t>
  </si>
  <si>
    <t>爆破</t>
  </si>
  <si>
    <t>1D10/3码</t>
  </si>
  <si>
    <t>就地</t>
  </si>
  <si>
    <t>一次使用</t>
  </si>
  <si>
    <t>1899年</t>
  </si>
  <si>
    <t>6D10/3码</t>
  </si>
  <si>
    <t>1956年</t>
  </si>
  <si>
    <t>1232年</t>
  </si>
  <si>
    <t>炮术</t>
  </si>
  <si>
    <t>6D10/6码</t>
  </si>
  <si>
    <t>500码</t>
  </si>
  <si>
    <t>独立装弹</t>
  </si>
  <si>
    <t>10D10/2码</t>
  </si>
  <si>
    <t>1500/——</t>
  </si>
  <si>
    <t>1897年</t>
  </si>
  <si>
    <t>2000码</t>
  </si>
  <si>
    <t>15D10/4码</t>
  </si>
  <si>
    <t>3000码</t>
  </si>
  <si>
    <t>自动上弹</t>
  </si>
  <si>
    <t>1910年</t>
  </si>
  <si>
    <t>4D10/5码</t>
  </si>
  <si>
    <t>布置</t>
  </si>
  <si>
    <t>1403年</t>
  </si>
  <si>
    <t>6D6/20码</t>
  </si>
  <si>
    <t>喷射器</t>
  </si>
  <si>
    <t>25码</t>
  </si>
  <si>
    <t>至少10</t>
  </si>
  <si>
    <t>93</t>
  </si>
  <si>
    <t>1901年</t>
  </si>
  <si>
    <t>8d10/1码</t>
  </si>
  <si>
    <t>150码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</si>
</sst>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General;&quot;1920s,罕见&quot;"/>
  </numFmts>
  <fonts count="10">
    <font>
      <sz val="11"/>
      <color theme="1"/>
      <name val="Arial"/>
      <family val="2"/>
      <charset val="134"/>
    </font>
    <font>
      <b/>
      <sz val="11"/>
      <color theme="0"/>
      <name val="Aptos Narrow"/>
      <family val="3"/>
      <charset val="134"/>
      <scheme val="minor"/>
    </font>
    <font>
      <b/>
      <sz val="9"/>
      <color theme="0"/>
      <name val="Aptos Narrow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name val="等线"/>
      <family val="3"/>
      <charset val="134"/>
    </font>
    <font>
      <sz val="36"/>
      <name val="等线"/>
      <family val="3"/>
      <charset val="134"/>
    </font>
    <font>
      <sz val="10"/>
      <name val="宋体"/>
      <family val="3"/>
      <charset val="134"/>
    </font>
    <font>
      <sz val="28"/>
      <name val="等线"/>
      <family val="3"/>
      <charset val="134"/>
    </font>
    <font>
      <sz val="24"/>
      <name val="等线"/>
      <family val="3"/>
      <charset val="134"/>
    </font>
    <font>
      <sz val="22"/>
      <name val="等线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4D6F7"/>
        <bgColor indexed="64"/>
      </patternFill>
    </fill>
    <fill>
      <patternFill patternType="solid">
        <fgColor rgb="FFD5F4F6"/>
        <bgColor indexed="64"/>
      </patternFill>
    </fill>
    <fill>
      <patternFill patternType="solid">
        <fgColor rgb="FF80BEF8"/>
        <bgColor indexed="64"/>
      </patternFill>
    </fill>
    <fill>
      <patternFill patternType="solid">
        <fgColor rgb="FFBBD8FB"/>
        <bgColor indexed="64"/>
      </patternFill>
    </fill>
    <fill>
      <patternFill patternType="solid">
        <fgColor rgb="FFC4D9F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FF8D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7D5F2"/>
        <bgColor indexed="64"/>
      </patternFill>
    </fill>
    <fill>
      <patternFill patternType="solid">
        <fgColor rgb="FFD1CDF4"/>
        <bgColor indexed="64"/>
      </patternFill>
    </fill>
    <fill>
      <patternFill patternType="solid">
        <fgColor rgb="FFD0FBF3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protection locked="0"/>
    </xf>
  </cellStyleXfs>
  <cellXfs count="121">
    <xf numFmtId="0" fontId="0" fillId="0" borderId="0" xfId="0"/>
    <xf numFmtId="49" fontId="1" fillId="2" borderId="0" xfId="0" applyNumberFormat="1" applyFont="1" applyFill="1" applyAlignment="1" applyProtection="1">
      <alignment horizontal="center" vertical="center"/>
      <protection locked="0"/>
    </xf>
    <xf numFmtId="49" fontId="2" fillId="2" borderId="0" xfId="0" applyNumberFormat="1" applyFont="1" applyFill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49" fontId="3" fillId="3" borderId="3" xfId="0" applyNumberFormat="1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5" fillId="4" borderId="5" xfId="1" applyFont="1" applyFill="1" applyBorder="1" applyAlignment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left" vertical="center"/>
      <protection locked="0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4" fillId="4" borderId="5" xfId="1" applyFill="1" applyBorder="1" applyAlignment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5" borderId="6" xfId="0" applyFont="1" applyFill="1" applyBorder="1" applyAlignment="1" applyProtection="1">
      <alignment horizontal="left" vertical="center"/>
      <protection locked="0"/>
    </xf>
    <xf numFmtId="49" fontId="3" fillId="5" borderId="0" xfId="0" applyNumberFormat="1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left" vertical="center"/>
      <protection locked="0"/>
    </xf>
    <xf numFmtId="49" fontId="6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4" borderId="7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left" vertical="center"/>
      <protection locked="0"/>
    </xf>
    <xf numFmtId="49" fontId="3" fillId="6" borderId="0" xfId="0" applyNumberFormat="1" applyFont="1" applyFill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3" fillId="6" borderId="7" xfId="0" applyFont="1" applyFill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left" vertical="center"/>
      <protection locked="0"/>
    </xf>
    <xf numFmtId="49" fontId="3" fillId="7" borderId="0" xfId="0" applyNumberFormat="1" applyFont="1" applyFill="1" applyAlignment="1" applyProtection="1">
      <alignment horizontal="center" vertical="center"/>
      <protection locked="0"/>
    </xf>
    <xf numFmtId="0" fontId="3" fillId="7" borderId="0" xfId="0" applyFont="1" applyFill="1" applyAlignment="1" applyProtection="1">
      <alignment horizontal="center" vertical="center"/>
      <protection locked="0"/>
    </xf>
    <xf numFmtId="0" fontId="3" fillId="7" borderId="7" xfId="0" applyFont="1" applyFill="1" applyBorder="1" applyAlignment="1" applyProtection="1">
      <alignment horizontal="center" vertical="center"/>
      <protection locked="0"/>
    </xf>
    <xf numFmtId="0" fontId="3" fillId="8" borderId="6" xfId="0" applyFont="1" applyFill="1" applyBorder="1" applyAlignment="1" applyProtection="1">
      <alignment horizontal="left" vertical="center"/>
      <protection locked="0"/>
    </xf>
    <xf numFmtId="49" fontId="3" fillId="8" borderId="0" xfId="0" applyNumberFormat="1" applyFont="1" applyFill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horizontal="center" vertical="center"/>
      <protection locked="0"/>
    </xf>
    <xf numFmtId="0" fontId="3" fillId="8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left" vertical="center"/>
      <protection locked="0"/>
    </xf>
    <xf numFmtId="49" fontId="3" fillId="4" borderId="9" xfId="0" applyNumberFormat="1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9" borderId="2" xfId="0" applyFont="1" applyFill="1" applyBorder="1" applyAlignment="1" applyProtection="1">
      <alignment horizontal="left" vertical="center"/>
      <protection locked="0"/>
    </xf>
    <xf numFmtId="49" fontId="3" fillId="9" borderId="3" xfId="0" applyNumberFormat="1" applyFont="1" applyFill="1" applyBorder="1" applyAlignment="1" applyProtection="1">
      <alignment horizontal="center" vertical="center"/>
      <protection locked="0"/>
    </xf>
    <xf numFmtId="0" fontId="3" fillId="9" borderId="3" xfId="0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/>
    </xf>
    <xf numFmtId="0" fontId="5" fillId="9" borderId="4" xfId="1" applyFont="1" applyFill="1" applyBorder="1" applyAlignment="1">
      <alignment horizontal="center" vertical="center" wrapText="1"/>
      <protection locked="0"/>
    </xf>
    <xf numFmtId="0" fontId="4" fillId="9" borderId="7" xfId="1" applyFill="1" applyBorder="1" applyAlignment="1">
      <alignment horizontal="center" vertical="center" wrapText="1"/>
      <protection locked="0"/>
    </xf>
    <xf numFmtId="0" fontId="3" fillId="9" borderId="6" xfId="0" applyFont="1" applyFill="1" applyBorder="1" applyAlignment="1" applyProtection="1">
      <alignment horizontal="left" vertical="center"/>
      <protection locked="0"/>
    </xf>
    <xf numFmtId="49" fontId="3" fillId="9" borderId="0" xfId="0" applyNumberFormat="1" applyFont="1" applyFill="1" applyAlignment="1" applyProtection="1">
      <alignment horizontal="center" vertical="center"/>
      <protection locked="0"/>
    </xf>
    <xf numFmtId="0" fontId="3" fillId="9" borderId="0" xfId="0" applyFont="1" applyFill="1" applyAlignment="1" applyProtection="1">
      <alignment horizontal="center" vertical="center"/>
      <protection locked="0"/>
    </xf>
    <xf numFmtId="0" fontId="3" fillId="9" borderId="7" xfId="0" applyFont="1" applyFill="1" applyBorder="1" applyAlignment="1" applyProtection="1">
      <alignment horizontal="center" vertical="center"/>
      <protection locked="0"/>
    </xf>
    <xf numFmtId="164" fontId="3" fillId="3" borderId="0" xfId="0" applyNumberFormat="1" applyFont="1" applyFill="1" applyAlignment="1" applyProtection="1">
      <alignment horizontal="center" vertical="center"/>
      <protection locked="0"/>
    </xf>
    <xf numFmtId="0" fontId="3" fillId="9" borderId="8" xfId="0" applyFont="1" applyFill="1" applyBorder="1" applyAlignment="1" applyProtection="1">
      <alignment horizontal="left" vertical="center"/>
      <protection locked="0"/>
    </xf>
    <xf numFmtId="49" fontId="3" fillId="9" borderId="9" xfId="0" applyNumberFormat="1" applyFont="1" applyFill="1" applyBorder="1" applyAlignment="1" applyProtection="1">
      <alignment horizontal="center" vertical="center"/>
      <protection locked="0"/>
    </xf>
    <xf numFmtId="0" fontId="3" fillId="9" borderId="9" xfId="0" applyFont="1" applyFill="1" applyBorder="1" applyAlignment="1" applyProtection="1">
      <alignment horizontal="center" vertical="center"/>
      <protection locked="0"/>
    </xf>
    <xf numFmtId="0" fontId="3" fillId="9" borderId="10" xfId="0" applyFont="1" applyFill="1" applyBorder="1" applyAlignment="1" applyProtection="1">
      <alignment horizontal="center" vertical="center"/>
      <protection locked="0"/>
    </xf>
    <xf numFmtId="0" fontId="4" fillId="9" borderId="10" xfId="1" applyFill="1" applyBorder="1" applyAlignment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left" vertical="center"/>
      <protection locked="0"/>
    </xf>
    <xf numFmtId="49" fontId="3" fillId="10" borderId="3" xfId="0" applyNumberFormat="1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 applyAlignment="1" applyProtection="1">
      <alignment horizontal="center" vertical="center"/>
      <protection locked="0"/>
    </xf>
    <xf numFmtId="0" fontId="3" fillId="10" borderId="4" xfId="0" applyFont="1" applyFill="1" applyBorder="1" applyAlignment="1" applyProtection="1">
      <alignment horizontal="center" vertical="center"/>
      <protection locked="0"/>
    </xf>
    <xf numFmtId="0" fontId="5" fillId="10" borderId="4" xfId="1" applyFont="1" applyFill="1" applyBorder="1" applyAlignment="1">
      <alignment horizontal="center" vertical="center" wrapText="1"/>
      <protection locked="0"/>
    </xf>
    <xf numFmtId="0" fontId="5" fillId="10" borderId="7" xfId="1" applyFont="1" applyFill="1" applyBorder="1" applyAlignment="1">
      <alignment horizontal="center" vertical="center" wrapText="1"/>
      <protection locked="0"/>
    </xf>
    <xf numFmtId="49" fontId="3" fillId="10" borderId="0" xfId="0" applyNumberFormat="1" applyFont="1" applyFill="1" applyAlignment="1" applyProtection="1">
      <alignment horizontal="center" vertical="center"/>
      <protection locked="0"/>
    </xf>
    <xf numFmtId="0" fontId="3" fillId="10" borderId="0" xfId="0" applyFont="1" applyFill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11" borderId="6" xfId="0" applyFont="1" applyFill="1" applyBorder="1" applyAlignment="1" applyProtection="1">
      <alignment horizontal="left" vertical="center"/>
      <protection locked="0"/>
    </xf>
    <xf numFmtId="49" fontId="3" fillId="11" borderId="0" xfId="0" applyNumberFormat="1" applyFont="1" applyFill="1" applyAlignment="1" applyProtection="1">
      <alignment horizontal="center" vertic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49" fontId="3" fillId="12" borderId="0" xfId="0" applyNumberFormat="1" applyFont="1" applyFill="1" applyAlignment="1" applyProtection="1">
      <alignment horizontal="center" vertical="center"/>
      <protection locked="0"/>
    </xf>
    <xf numFmtId="0" fontId="3" fillId="12" borderId="0" xfId="0" applyFont="1" applyFill="1" applyAlignment="1" applyProtection="1">
      <alignment horizontal="center" vertical="center"/>
      <protection locked="0"/>
    </xf>
    <xf numFmtId="0" fontId="3" fillId="12" borderId="7" xfId="0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7" fillId="10" borderId="4" xfId="1" applyFont="1" applyFill="1" applyBorder="1" applyAlignment="1">
      <alignment horizontal="center" vertical="center" wrapText="1"/>
      <protection locked="0"/>
    </xf>
    <xf numFmtId="0" fontId="3" fillId="10" borderId="7" xfId="0" applyFont="1" applyFill="1" applyBorder="1" applyAlignment="1" applyProtection="1">
      <alignment horizontal="center" vertical="center" wrapText="1"/>
      <protection locked="0"/>
    </xf>
    <xf numFmtId="0" fontId="7" fillId="10" borderId="7" xfId="1" applyFont="1" applyFill="1" applyBorder="1" applyAlignment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49" fontId="3" fillId="10" borderId="9" xfId="0" applyNumberFormat="1" applyFont="1" applyFill="1" applyBorder="1" applyAlignment="1" applyProtection="1">
      <alignment horizontal="center" vertical="center"/>
      <protection locked="0"/>
    </xf>
    <xf numFmtId="0" fontId="3" fillId="10" borderId="9" xfId="0" applyFont="1" applyFill="1" applyBorder="1" applyAlignment="1" applyProtection="1">
      <alignment horizontal="center" vertical="center"/>
      <protection locked="0"/>
    </xf>
    <xf numFmtId="0" fontId="3" fillId="10" borderId="10" xfId="0" applyFont="1" applyFill="1" applyBorder="1" applyAlignment="1" applyProtection="1">
      <alignment horizontal="center" vertical="center"/>
      <protection locked="0"/>
    </xf>
    <xf numFmtId="0" fontId="7" fillId="10" borderId="10" xfId="1" applyFont="1" applyFill="1" applyBorder="1" applyAlignment="1">
      <alignment horizontal="center" vertical="center" wrapText="1"/>
      <protection locked="0"/>
    </xf>
    <xf numFmtId="0" fontId="3" fillId="13" borderId="2" xfId="0" applyFont="1" applyFill="1" applyBorder="1" applyAlignment="1" applyProtection="1">
      <alignment horizontal="left" vertical="center"/>
      <protection locked="0"/>
    </xf>
    <xf numFmtId="49" fontId="3" fillId="13" borderId="3" xfId="0" applyNumberFormat="1" applyFont="1" applyFill="1" applyBorder="1" applyAlignment="1" applyProtection="1">
      <alignment horizontal="center" vertical="center"/>
      <protection locked="0"/>
    </xf>
    <xf numFmtId="0" fontId="3" fillId="13" borderId="3" xfId="0" applyFont="1" applyFill="1" applyBorder="1" applyAlignment="1" applyProtection="1">
      <alignment horizontal="center" vertical="center"/>
      <protection locked="0"/>
    </xf>
    <xf numFmtId="0" fontId="3" fillId="13" borderId="4" xfId="0" applyFont="1" applyFill="1" applyBorder="1" applyAlignment="1" applyProtection="1">
      <alignment horizontal="center" vertical="center"/>
      <protection locked="0"/>
    </xf>
    <xf numFmtId="0" fontId="8" fillId="13" borderId="3" xfId="1" applyFont="1" applyFill="1" applyBorder="1" applyAlignment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8" fillId="13" borderId="0" xfId="1" applyFont="1" applyFill="1" applyAlignment="1">
      <alignment horizontal="center" vertical="center" wrapText="1"/>
      <protection locked="0"/>
    </xf>
    <xf numFmtId="0" fontId="3" fillId="13" borderId="6" xfId="0" applyFont="1" applyFill="1" applyBorder="1" applyAlignment="1" applyProtection="1">
      <alignment horizontal="left" vertical="center"/>
      <protection locked="0"/>
    </xf>
    <xf numFmtId="49" fontId="3" fillId="13" borderId="0" xfId="0" applyNumberFormat="1" applyFont="1" applyFill="1" applyAlignment="1" applyProtection="1">
      <alignment horizontal="center" vertical="center"/>
      <protection locked="0"/>
    </xf>
    <xf numFmtId="0" fontId="3" fillId="13" borderId="0" xfId="0" applyFont="1" applyFill="1" applyAlignment="1" applyProtection="1">
      <alignment horizontal="center" vertical="center"/>
      <protection locked="0"/>
    </xf>
    <xf numFmtId="0" fontId="3" fillId="13" borderId="7" xfId="0" applyFont="1" applyFill="1" applyBorder="1" applyAlignment="1" applyProtection="1">
      <alignment horizontal="center" vertical="center"/>
      <protection locked="0"/>
    </xf>
    <xf numFmtId="0" fontId="8" fillId="13" borderId="9" xfId="1" applyFont="1" applyFill="1" applyBorder="1" applyAlignment="1">
      <alignment horizontal="center" vertical="center" wrapText="1"/>
      <protection locked="0"/>
    </xf>
    <xf numFmtId="0" fontId="9" fillId="13" borderId="0" xfId="1" applyFont="1" applyFill="1" applyAlignment="1">
      <alignment horizontal="center" vertical="center" wrapText="1"/>
      <protection locked="0"/>
    </xf>
    <xf numFmtId="0" fontId="5" fillId="13" borderId="11" xfId="1" applyFont="1" applyFill="1" applyBorder="1" applyAlignment="1">
      <alignment horizontal="center" vertical="center" wrapText="1"/>
      <protection locked="0"/>
    </xf>
    <xf numFmtId="0" fontId="3" fillId="14" borderId="6" xfId="0" applyFont="1" applyFill="1" applyBorder="1" applyAlignment="1" applyProtection="1">
      <alignment horizontal="left" vertical="center"/>
      <protection locked="0"/>
    </xf>
    <xf numFmtId="49" fontId="3" fillId="14" borderId="0" xfId="0" applyNumberFormat="1" applyFont="1" applyFill="1" applyAlignment="1" applyProtection="1">
      <alignment horizontal="center" vertical="center"/>
      <protection locked="0"/>
    </xf>
    <xf numFmtId="0" fontId="3" fillId="14" borderId="0" xfId="0" applyFont="1" applyFill="1" applyAlignment="1" applyProtection="1">
      <alignment horizontal="center" vertical="center"/>
      <protection locked="0"/>
    </xf>
    <xf numFmtId="0" fontId="3" fillId="14" borderId="7" xfId="0" applyFont="1" applyFill="1" applyBorder="1" applyAlignment="1" applyProtection="1">
      <alignment horizontal="center" vertical="center"/>
      <protection locked="0"/>
    </xf>
    <xf numFmtId="0" fontId="3" fillId="13" borderId="8" xfId="0" applyFont="1" applyFill="1" applyBorder="1" applyAlignment="1" applyProtection="1">
      <alignment horizontal="left" vertical="center"/>
      <protection locked="0"/>
    </xf>
    <xf numFmtId="49" fontId="3" fillId="13" borderId="9" xfId="0" applyNumberFormat="1" applyFont="1" applyFill="1" applyBorder="1" applyAlignment="1" applyProtection="1">
      <alignment horizontal="center" vertical="center"/>
      <protection locked="0"/>
    </xf>
    <xf numFmtId="0" fontId="3" fillId="13" borderId="9" xfId="0" applyFont="1" applyFill="1" applyBorder="1" applyAlignment="1" applyProtection="1">
      <alignment horizontal="center" vertical="center"/>
      <protection locked="0"/>
    </xf>
    <xf numFmtId="0" fontId="3" fillId="13" borderId="10" xfId="0" applyFont="1" applyFill="1" applyBorder="1" applyAlignment="1" applyProtection="1">
      <alignment horizontal="center" vertical="center"/>
      <protection locked="0"/>
    </xf>
    <xf numFmtId="0" fontId="3" fillId="12" borderId="2" xfId="0" applyFont="1" applyFill="1" applyBorder="1" applyAlignment="1" applyProtection="1">
      <alignment horizontal="left" vertical="center"/>
      <protection locked="0"/>
    </xf>
    <xf numFmtId="49" fontId="3" fillId="12" borderId="3" xfId="0" applyNumberFormat="1" applyFont="1" applyFill="1" applyBorder="1" applyAlignment="1" applyProtection="1">
      <alignment horizontal="center" vertical="center"/>
      <protection locked="0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4" xfId="0" applyFont="1" applyFill="1" applyBorder="1" applyAlignment="1" applyProtection="1">
      <alignment horizontal="center" vertical="center"/>
      <protection locked="0"/>
    </xf>
    <xf numFmtId="0" fontId="5" fillId="12" borderId="7" xfId="1" applyFont="1" applyFill="1" applyBorder="1" applyAlignment="1">
      <alignment horizontal="center" vertical="center" wrapText="1"/>
      <protection locked="0"/>
    </xf>
    <xf numFmtId="0" fontId="3" fillId="15" borderId="6" xfId="0" applyFont="1" applyFill="1" applyBorder="1" applyAlignment="1" applyProtection="1">
      <alignment horizontal="left" vertical="center"/>
      <protection locked="0"/>
    </xf>
    <xf numFmtId="0" fontId="5" fillId="12" borderId="10" xfId="1" applyFont="1" applyFill="1" applyBorder="1" applyAlignment="1">
      <alignment horizontal="center" vertical="center" wrapText="1"/>
      <protection locked="0"/>
    </xf>
    <xf numFmtId="49" fontId="3" fillId="16" borderId="0" xfId="0" applyNumberFormat="1" applyFont="1" applyFill="1" applyAlignment="1" applyProtection="1">
      <alignment horizontal="center" vertical="center"/>
      <protection locked="0"/>
    </xf>
    <xf numFmtId="0" fontId="3" fillId="16" borderId="0" xfId="0" applyFont="1" applyFill="1" applyAlignment="1" applyProtection="1">
      <alignment horizontal="center" vertical="center"/>
      <protection locked="0"/>
    </xf>
    <xf numFmtId="0" fontId="3" fillId="16" borderId="7" xfId="0" applyFont="1" applyFill="1" applyBorder="1" applyAlignment="1" applyProtection="1">
      <alignment horizontal="center" vertical="center"/>
      <protection locked="0"/>
    </xf>
    <xf numFmtId="0" fontId="3" fillId="15" borderId="8" xfId="0" applyFont="1" applyFill="1" applyBorder="1" applyAlignment="1" applyProtection="1">
      <alignment horizontal="left" vertical="center"/>
      <protection locked="0"/>
    </xf>
    <xf numFmtId="49" fontId="3" fillId="3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常规 2" xfId="1" xr:uid="{47975C80-0476-49F8-A79D-33140B445C23}"/>
  </cellStyles>
  <dxfs count="1">
    <dxf>
      <font>
        <color theme="0" tint="-0.24997711111789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FA3D-8755-4B5A-AA82-3C4FEE85BBB5}">
  <dimension ref="A1:L105"/>
  <sheetViews>
    <sheetView tabSelected="1" workbookViewId="0">
      <selection activeCell="P16" sqref="P16"/>
    </sheetView>
  </sheetViews>
  <sheetFormatPr defaultRowHeight="14.25"/>
  <cols>
    <col min="1" max="1" width="9.625" bestFit="1" customWidth="1"/>
    <col min="2" max="2" width="9.875" bestFit="1" customWidth="1"/>
    <col min="3" max="3" width="14.125" bestFit="1" customWidth="1"/>
    <col min="4" max="4" width="7.875" bestFit="1" customWidth="1"/>
    <col min="5" max="5" width="5.375" bestFit="1" customWidth="1"/>
    <col min="6" max="6" width="11" bestFit="1" customWidth="1"/>
    <col min="7" max="7" width="7.875" bestFit="1" customWidth="1"/>
    <col min="8" max="8" width="7.5" bestFit="1" customWidth="1"/>
    <col min="9" max="9" width="9.625" bestFit="1" customWidth="1"/>
    <col min="10" max="10" width="13.625" bestFit="1" customWidth="1"/>
    <col min="11" max="11" width="10" bestFit="1" customWidth="1"/>
    <col min="12" max="12" width="8.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f t="shared" ref="A2:A65" si="0">IF(OR(I2="1920s,现代",$U$1="其他",I2=$U$1,I2="罕见"),T2,"-"&amp;T2)</f>
        <v>0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</row>
    <row r="3" spans="1:12">
      <c r="A3" s="9">
        <f t="shared" si="0"/>
        <v>0</v>
      </c>
      <c r="B3" s="10" t="s">
        <v>22</v>
      </c>
      <c r="C3" s="11" t="s">
        <v>23</v>
      </c>
      <c r="D3" s="11" t="s">
        <v>24</v>
      </c>
      <c r="E3" s="11" t="s">
        <v>15</v>
      </c>
      <c r="F3" s="11" t="s">
        <v>16</v>
      </c>
      <c r="G3" s="11" t="s">
        <v>20</v>
      </c>
      <c r="H3" s="11" t="s">
        <v>20</v>
      </c>
      <c r="I3" s="11" t="s">
        <v>18</v>
      </c>
      <c r="J3" s="11" t="s">
        <v>25</v>
      </c>
      <c r="K3" s="12">
        <v>1870</v>
      </c>
      <c r="L3" s="13"/>
    </row>
    <row r="4" spans="1:12">
      <c r="A4" s="14" t="str">
        <f t="shared" si="0"/>
        <v>-</v>
      </c>
      <c r="B4" s="15" t="s">
        <v>26</v>
      </c>
      <c r="C4" s="16" t="s">
        <v>27</v>
      </c>
      <c r="D4" s="16" t="s">
        <v>28</v>
      </c>
      <c r="E4" s="16" t="s">
        <v>15</v>
      </c>
      <c r="F4" s="16" t="s">
        <v>16</v>
      </c>
      <c r="G4" s="16" t="s">
        <v>20</v>
      </c>
      <c r="H4" s="16" t="s">
        <v>20</v>
      </c>
      <c r="I4" s="16" t="s">
        <v>29</v>
      </c>
      <c r="J4" s="16" t="s">
        <v>30</v>
      </c>
      <c r="K4" s="17" t="s">
        <v>20</v>
      </c>
      <c r="L4" s="13"/>
    </row>
    <row r="5" spans="1:12">
      <c r="A5" s="9">
        <f t="shared" si="0"/>
        <v>0</v>
      </c>
      <c r="B5" s="10" t="s">
        <v>22</v>
      </c>
      <c r="C5" s="11" t="s">
        <v>31</v>
      </c>
      <c r="D5" s="11" t="s">
        <v>24</v>
      </c>
      <c r="E5" s="11" t="s">
        <v>15</v>
      </c>
      <c r="F5" s="11" t="s">
        <v>16</v>
      </c>
      <c r="G5" s="11" t="s">
        <v>20</v>
      </c>
      <c r="H5" s="11" t="s">
        <v>20</v>
      </c>
      <c r="I5" s="11" t="s">
        <v>18</v>
      </c>
      <c r="J5" s="11" t="s">
        <v>32</v>
      </c>
      <c r="K5" s="12" t="s">
        <v>20</v>
      </c>
      <c r="L5" s="13"/>
    </row>
    <row r="6" spans="1:12">
      <c r="A6" s="18" t="str">
        <f t="shared" si="0"/>
        <v>-</v>
      </c>
      <c r="B6" s="19" t="s">
        <v>33</v>
      </c>
      <c r="C6" s="20" t="s">
        <v>34</v>
      </c>
      <c r="D6" s="20" t="s">
        <v>24</v>
      </c>
      <c r="E6" s="20" t="s">
        <v>35</v>
      </c>
      <c r="F6" s="20" t="s">
        <v>16</v>
      </c>
      <c r="G6" s="20" t="s">
        <v>20</v>
      </c>
      <c r="H6" s="20" t="s">
        <v>36</v>
      </c>
      <c r="I6" s="20" t="s">
        <v>37</v>
      </c>
      <c r="J6" s="20" t="s">
        <v>38</v>
      </c>
      <c r="K6" s="21" t="s">
        <v>39</v>
      </c>
      <c r="L6" s="13"/>
    </row>
    <row r="7" spans="1:12">
      <c r="A7" s="22">
        <f t="shared" si="0"/>
        <v>0</v>
      </c>
      <c r="B7" s="23" t="s">
        <v>22</v>
      </c>
      <c r="C7" s="24" t="s">
        <v>40</v>
      </c>
      <c r="D7" s="24" t="s">
        <v>24</v>
      </c>
      <c r="E7" s="24" t="s">
        <v>15</v>
      </c>
      <c r="F7" s="24" t="s">
        <v>16</v>
      </c>
      <c r="G7" s="24" t="s">
        <v>20</v>
      </c>
      <c r="H7" s="24" t="s">
        <v>20</v>
      </c>
      <c r="I7" s="24" t="s">
        <v>18</v>
      </c>
      <c r="J7" s="24" t="s">
        <v>41</v>
      </c>
      <c r="K7" s="25" t="s">
        <v>42</v>
      </c>
      <c r="L7" s="13"/>
    </row>
    <row r="8" spans="1:12">
      <c r="A8" s="14">
        <f t="shared" si="0"/>
        <v>0</v>
      </c>
      <c r="B8" s="15" t="s">
        <v>22</v>
      </c>
      <c r="C8" s="16" t="s">
        <v>40</v>
      </c>
      <c r="D8" s="16" t="s">
        <v>24</v>
      </c>
      <c r="E8" s="16" t="s">
        <v>15</v>
      </c>
      <c r="F8" s="16" t="s">
        <v>16</v>
      </c>
      <c r="G8" s="16" t="s">
        <v>20</v>
      </c>
      <c r="H8" s="16" t="s">
        <v>20</v>
      </c>
      <c r="I8" s="16" t="s">
        <v>18</v>
      </c>
      <c r="J8" s="16" t="s">
        <v>43</v>
      </c>
      <c r="K8" s="17" t="s">
        <v>20</v>
      </c>
      <c r="L8" s="13"/>
    </row>
    <row r="9" spans="1:12">
      <c r="A9" s="9">
        <f>IF(OR(I9="1920s,现代",$U$1="其他",I9=$U$1,I9="罕见"),T9,"-"&amp;T9)</f>
        <v>0</v>
      </c>
      <c r="B9" s="10" t="s">
        <v>22</v>
      </c>
      <c r="C9" s="11" t="s">
        <v>44</v>
      </c>
      <c r="D9" s="11" t="s">
        <v>24</v>
      </c>
      <c r="E9" s="11" t="s">
        <v>15</v>
      </c>
      <c r="F9" s="11" t="s">
        <v>16</v>
      </c>
      <c r="G9" s="11" t="s">
        <v>20</v>
      </c>
      <c r="H9" s="11" t="s">
        <v>20</v>
      </c>
      <c r="I9" s="11" t="s">
        <v>18</v>
      </c>
      <c r="J9" s="11" t="s">
        <v>43</v>
      </c>
      <c r="K9" s="12" t="s">
        <v>20</v>
      </c>
      <c r="L9" s="13"/>
    </row>
    <row r="10" spans="1:12">
      <c r="A10" s="14">
        <f t="shared" si="0"/>
        <v>0</v>
      </c>
      <c r="B10" s="15" t="s">
        <v>12</v>
      </c>
      <c r="C10" s="16" t="s">
        <v>45</v>
      </c>
      <c r="D10" s="16" t="s">
        <v>46</v>
      </c>
      <c r="E10" s="16" t="s">
        <v>35</v>
      </c>
      <c r="F10" s="16" t="s">
        <v>47</v>
      </c>
      <c r="G10" s="16" t="s">
        <v>16</v>
      </c>
      <c r="H10" s="16" t="s">
        <v>48</v>
      </c>
      <c r="I10" s="16" t="s">
        <v>18</v>
      </c>
      <c r="J10" s="16" t="s">
        <v>49</v>
      </c>
      <c r="K10" s="17" t="s">
        <v>50</v>
      </c>
      <c r="L10" s="13"/>
    </row>
    <row r="11" spans="1:12">
      <c r="A11" s="26">
        <f t="shared" si="0"/>
        <v>0</v>
      </c>
      <c r="B11" s="27" t="s">
        <v>51</v>
      </c>
      <c r="C11" s="28" t="s">
        <v>44</v>
      </c>
      <c r="D11" s="28" t="s">
        <v>24</v>
      </c>
      <c r="E11" s="28" t="s">
        <v>35</v>
      </c>
      <c r="F11" s="28" t="s">
        <v>16</v>
      </c>
      <c r="G11" s="28" t="s">
        <v>20</v>
      </c>
      <c r="H11" s="28" t="s">
        <v>20</v>
      </c>
      <c r="I11" s="28" t="s">
        <v>18</v>
      </c>
      <c r="J11" s="28" t="s">
        <v>52</v>
      </c>
      <c r="K11" s="29" t="s">
        <v>20</v>
      </c>
      <c r="L11" s="13"/>
    </row>
    <row r="12" spans="1:12">
      <c r="A12" s="14">
        <f t="shared" si="0"/>
        <v>0</v>
      </c>
      <c r="B12" s="15" t="s">
        <v>53</v>
      </c>
      <c r="C12" s="16" t="s">
        <v>54</v>
      </c>
      <c r="D12" s="16" t="s">
        <v>24</v>
      </c>
      <c r="E12" s="16" t="s">
        <v>35</v>
      </c>
      <c r="F12" s="16" t="s">
        <v>16</v>
      </c>
      <c r="G12" s="16" t="s">
        <v>20</v>
      </c>
      <c r="H12" s="16" t="s">
        <v>20</v>
      </c>
      <c r="I12" s="16" t="s">
        <v>18</v>
      </c>
      <c r="J12" s="16" t="s">
        <v>55</v>
      </c>
      <c r="K12" s="17" t="s">
        <v>20</v>
      </c>
      <c r="L12" s="13"/>
    </row>
    <row r="13" spans="1:12">
      <c r="A13" s="9">
        <f t="shared" si="0"/>
        <v>0</v>
      </c>
      <c r="B13" s="10" t="s">
        <v>22</v>
      </c>
      <c r="C13" s="11" t="s">
        <v>40</v>
      </c>
      <c r="D13" s="11" t="s">
        <v>24</v>
      </c>
      <c r="E13" s="11" t="s">
        <v>35</v>
      </c>
      <c r="F13" s="11" t="s">
        <v>16</v>
      </c>
      <c r="G13" s="11" t="s">
        <v>20</v>
      </c>
      <c r="H13" s="11" t="s">
        <v>20</v>
      </c>
      <c r="I13" s="11" t="s">
        <v>18</v>
      </c>
      <c r="J13" s="11" t="s">
        <v>56</v>
      </c>
      <c r="K13" s="12" t="s">
        <v>20</v>
      </c>
      <c r="L13" s="13"/>
    </row>
    <row r="14" spans="1:12">
      <c r="A14" s="14">
        <f t="shared" si="0"/>
        <v>0</v>
      </c>
      <c r="B14" s="15" t="s">
        <v>22</v>
      </c>
      <c r="C14" s="16" t="s">
        <v>57</v>
      </c>
      <c r="D14" s="16" t="s">
        <v>24</v>
      </c>
      <c r="E14" s="16" t="s">
        <v>35</v>
      </c>
      <c r="F14" s="16" t="s">
        <v>16</v>
      </c>
      <c r="G14" s="16" t="s">
        <v>20</v>
      </c>
      <c r="H14" s="16" t="s">
        <v>20</v>
      </c>
      <c r="I14" s="16" t="s">
        <v>18</v>
      </c>
      <c r="J14" s="16" t="s">
        <v>41</v>
      </c>
      <c r="K14" s="17" t="s">
        <v>20</v>
      </c>
      <c r="L14" s="13"/>
    </row>
    <row r="15" spans="1:12">
      <c r="A15" s="9">
        <f t="shared" si="0"/>
        <v>0</v>
      </c>
      <c r="B15" s="10" t="s">
        <v>22</v>
      </c>
      <c r="C15" s="11" t="s">
        <v>58</v>
      </c>
      <c r="D15" s="11" t="s">
        <v>24</v>
      </c>
      <c r="E15" s="11" t="s">
        <v>35</v>
      </c>
      <c r="F15" s="11" t="s">
        <v>16</v>
      </c>
      <c r="G15" s="11" t="s">
        <v>20</v>
      </c>
      <c r="H15" s="11" t="s">
        <v>20</v>
      </c>
      <c r="I15" s="11" t="s">
        <v>18</v>
      </c>
      <c r="J15" s="11" t="s">
        <v>59</v>
      </c>
      <c r="K15" s="12" t="s">
        <v>20</v>
      </c>
      <c r="L15" s="13"/>
    </row>
    <row r="16" spans="1:12">
      <c r="A16" s="14" t="str">
        <f t="shared" si="0"/>
        <v>-</v>
      </c>
      <c r="B16" s="15" t="s">
        <v>22</v>
      </c>
      <c r="C16" s="16" t="s">
        <v>60</v>
      </c>
      <c r="D16" s="16" t="s">
        <v>24</v>
      </c>
      <c r="E16" s="16" t="s">
        <v>15</v>
      </c>
      <c r="F16" s="16" t="s">
        <v>16</v>
      </c>
      <c r="G16" s="16" t="s">
        <v>20</v>
      </c>
      <c r="H16" s="16" t="s">
        <v>36</v>
      </c>
      <c r="I16" s="16" t="s">
        <v>37</v>
      </c>
      <c r="J16" s="16" t="s">
        <v>20</v>
      </c>
      <c r="K16" s="17" t="s">
        <v>61</v>
      </c>
      <c r="L16" s="13"/>
    </row>
    <row r="17" spans="1:12">
      <c r="A17" s="30">
        <f t="shared" si="0"/>
        <v>0</v>
      </c>
      <c r="B17" s="31" t="s">
        <v>22</v>
      </c>
      <c r="C17" s="32" t="s">
        <v>62</v>
      </c>
      <c r="D17" s="32" t="s">
        <v>63</v>
      </c>
      <c r="E17" s="32" t="s">
        <v>15</v>
      </c>
      <c r="F17" s="32" t="s">
        <v>16</v>
      </c>
      <c r="G17" s="32" t="s">
        <v>64</v>
      </c>
      <c r="H17" s="32" t="s">
        <v>20</v>
      </c>
      <c r="I17" s="32" t="s">
        <v>18</v>
      </c>
      <c r="J17" s="32" t="s">
        <v>65</v>
      </c>
      <c r="K17" s="33" t="s">
        <v>66</v>
      </c>
      <c r="L17" s="13"/>
    </row>
    <row r="18" spans="1:12">
      <c r="A18" s="14">
        <f t="shared" si="0"/>
        <v>0</v>
      </c>
      <c r="B18" s="15" t="s">
        <v>67</v>
      </c>
      <c r="C18" s="16" t="s">
        <v>40</v>
      </c>
      <c r="D18" s="16" t="s">
        <v>24</v>
      </c>
      <c r="E18" s="16" t="s">
        <v>15</v>
      </c>
      <c r="F18" s="16" t="s">
        <v>16</v>
      </c>
      <c r="G18" s="16" t="s">
        <v>20</v>
      </c>
      <c r="H18" s="16" t="s">
        <v>20</v>
      </c>
      <c r="I18" s="16" t="s">
        <v>18</v>
      </c>
      <c r="J18" s="16" t="s">
        <v>25</v>
      </c>
      <c r="K18" s="17" t="s">
        <v>68</v>
      </c>
      <c r="L18" s="13"/>
    </row>
    <row r="19" spans="1:12">
      <c r="A19" s="9">
        <f t="shared" si="0"/>
        <v>0</v>
      </c>
      <c r="B19" s="10" t="s">
        <v>69</v>
      </c>
      <c r="C19" s="11" t="s">
        <v>70</v>
      </c>
      <c r="D19" s="11" t="s">
        <v>71</v>
      </c>
      <c r="E19" s="11" t="s">
        <v>15</v>
      </c>
      <c r="F19" s="11" t="s">
        <v>16</v>
      </c>
      <c r="G19" s="11" t="s">
        <v>20</v>
      </c>
      <c r="H19" s="11" t="s">
        <v>20</v>
      </c>
      <c r="I19" s="11" t="s">
        <v>18</v>
      </c>
      <c r="J19" s="11" t="s">
        <v>20</v>
      </c>
      <c r="K19" s="12" t="s">
        <v>20</v>
      </c>
      <c r="L19" s="13"/>
    </row>
    <row r="20" spans="1:12">
      <c r="A20" s="14">
        <f t="shared" si="0"/>
        <v>0</v>
      </c>
      <c r="B20" s="15" t="s">
        <v>69</v>
      </c>
      <c r="C20" s="16" t="s">
        <v>27</v>
      </c>
      <c r="D20" s="16" t="s">
        <v>72</v>
      </c>
      <c r="E20" s="16" t="s">
        <v>35</v>
      </c>
      <c r="F20" s="16" t="s">
        <v>73</v>
      </c>
      <c r="G20" s="16" t="s">
        <v>74</v>
      </c>
      <c r="H20" s="16" t="s">
        <v>75</v>
      </c>
      <c r="I20" s="16" t="s">
        <v>18</v>
      </c>
      <c r="J20" s="16" t="s">
        <v>52</v>
      </c>
      <c r="K20" s="17" t="s">
        <v>20</v>
      </c>
      <c r="L20" s="13"/>
    </row>
    <row r="21" spans="1:12">
      <c r="A21" s="9">
        <f t="shared" si="0"/>
        <v>0</v>
      </c>
      <c r="B21" s="10" t="s">
        <v>76</v>
      </c>
      <c r="C21" s="11" t="s">
        <v>77</v>
      </c>
      <c r="D21" s="11" t="s">
        <v>24</v>
      </c>
      <c r="E21" s="11" t="s">
        <v>35</v>
      </c>
      <c r="F21" s="11" t="s">
        <v>16</v>
      </c>
      <c r="G21" s="11" t="s">
        <v>20</v>
      </c>
      <c r="H21" s="11" t="s">
        <v>20</v>
      </c>
      <c r="I21" s="11" t="s">
        <v>18</v>
      </c>
      <c r="J21" s="11" t="s">
        <v>78</v>
      </c>
      <c r="K21" s="12" t="s">
        <v>20</v>
      </c>
      <c r="L21" s="13"/>
    </row>
    <row r="22" spans="1:12">
      <c r="A22" s="14">
        <f t="shared" si="0"/>
        <v>0</v>
      </c>
      <c r="B22" s="15" t="s">
        <v>69</v>
      </c>
      <c r="C22" s="16" t="s">
        <v>79</v>
      </c>
      <c r="D22" s="16" t="s">
        <v>80</v>
      </c>
      <c r="E22" s="16" t="s">
        <v>35</v>
      </c>
      <c r="F22" s="16" t="s">
        <v>16</v>
      </c>
      <c r="G22" s="16" t="s">
        <v>20</v>
      </c>
      <c r="H22" s="16" t="s">
        <v>20</v>
      </c>
      <c r="I22" s="16" t="s">
        <v>81</v>
      </c>
      <c r="J22" s="16" t="s">
        <v>82</v>
      </c>
      <c r="K22" s="17" t="s">
        <v>20</v>
      </c>
      <c r="L22" s="13"/>
    </row>
    <row r="23" spans="1:12">
      <c r="A23" s="9">
        <f t="shared" si="0"/>
        <v>0</v>
      </c>
      <c r="B23" s="10" t="s">
        <v>83</v>
      </c>
      <c r="C23" s="11" t="s">
        <v>84</v>
      </c>
      <c r="D23" s="11" t="s">
        <v>24</v>
      </c>
      <c r="E23" s="11" t="s">
        <v>35</v>
      </c>
      <c r="F23" s="11" t="s">
        <v>16</v>
      </c>
      <c r="G23" s="11" t="s">
        <v>20</v>
      </c>
      <c r="H23" s="11" t="s">
        <v>20</v>
      </c>
      <c r="I23" s="11" t="s">
        <v>18</v>
      </c>
      <c r="J23" s="11" t="s">
        <v>85</v>
      </c>
      <c r="K23" s="12" t="s">
        <v>20</v>
      </c>
      <c r="L23" s="13"/>
    </row>
    <row r="24" spans="1:12">
      <c r="A24" s="14">
        <f t="shared" si="0"/>
        <v>0</v>
      </c>
      <c r="B24" s="15" t="s">
        <v>83</v>
      </c>
      <c r="C24" s="16" t="s">
        <v>54</v>
      </c>
      <c r="D24" s="16" t="s">
        <v>24</v>
      </c>
      <c r="E24" s="16" t="s">
        <v>35</v>
      </c>
      <c r="F24" s="16" t="s">
        <v>16</v>
      </c>
      <c r="G24" s="16" t="s">
        <v>20</v>
      </c>
      <c r="H24" s="16" t="s">
        <v>20</v>
      </c>
      <c r="I24" s="16" t="s">
        <v>18</v>
      </c>
      <c r="J24" s="16" t="s">
        <v>86</v>
      </c>
      <c r="K24" s="17" t="s">
        <v>20</v>
      </c>
      <c r="L24" s="13"/>
    </row>
    <row r="25" spans="1:12">
      <c r="A25" s="9">
        <f t="shared" si="0"/>
        <v>0</v>
      </c>
      <c r="B25" s="10" t="s">
        <v>83</v>
      </c>
      <c r="C25" s="11" t="s">
        <v>44</v>
      </c>
      <c r="D25" s="11" t="s">
        <v>24</v>
      </c>
      <c r="E25" s="11" t="s">
        <v>35</v>
      </c>
      <c r="F25" s="11" t="s">
        <v>16</v>
      </c>
      <c r="G25" s="11" t="s">
        <v>20</v>
      </c>
      <c r="H25" s="11" t="s">
        <v>20</v>
      </c>
      <c r="I25" s="11" t="s">
        <v>18</v>
      </c>
      <c r="J25" s="11" t="s">
        <v>87</v>
      </c>
      <c r="K25" s="12" t="s">
        <v>20</v>
      </c>
      <c r="L25" s="13"/>
    </row>
    <row r="26" spans="1:12">
      <c r="A26" s="34" t="str">
        <f t="shared" si="0"/>
        <v>-</v>
      </c>
      <c r="B26" s="35" t="s">
        <v>22</v>
      </c>
      <c r="C26" s="36" t="s">
        <v>88</v>
      </c>
      <c r="D26" s="36" t="s">
        <v>24</v>
      </c>
      <c r="E26" s="36" t="s">
        <v>15</v>
      </c>
      <c r="F26" s="36" t="s">
        <v>16</v>
      </c>
      <c r="G26" s="36" t="s">
        <v>20</v>
      </c>
      <c r="H26" s="36" t="s">
        <v>17</v>
      </c>
      <c r="I26" s="36" t="s">
        <v>37</v>
      </c>
      <c r="J26" s="36" t="s">
        <v>89</v>
      </c>
      <c r="K26" s="37" t="s">
        <v>90</v>
      </c>
      <c r="L26" s="13"/>
    </row>
    <row r="27" spans="1:12">
      <c r="A27" s="34" t="str">
        <f t="shared" si="0"/>
        <v>-</v>
      </c>
      <c r="B27" s="35" t="s">
        <v>91</v>
      </c>
      <c r="C27" s="36" t="s">
        <v>88</v>
      </c>
      <c r="D27" s="36" t="s">
        <v>92</v>
      </c>
      <c r="E27" s="36" t="s">
        <v>15</v>
      </c>
      <c r="F27" s="36" t="s">
        <v>16</v>
      </c>
      <c r="G27" s="36" t="s">
        <v>93</v>
      </c>
      <c r="H27" s="36" t="s">
        <v>36</v>
      </c>
      <c r="I27" s="36" t="s">
        <v>37</v>
      </c>
      <c r="J27" s="36" t="s">
        <v>94</v>
      </c>
      <c r="K27" s="37" t="s">
        <v>95</v>
      </c>
      <c r="L27" s="13"/>
    </row>
    <row r="28" spans="1:12">
      <c r="A28" s="14">
        <f t="shared" si="0"/>
        <v>0</v>
      </c>
      <c r="B28" s="15" t="s">
        <v>69</v>
      </c>
      <c r="C28" s="16" t="s">
        <v>79</v>
      </c>
      <c r="D28" s="16" t="s">
        <v>72</v>
      </c>
      <c r="E28" s="16" t="s">
        <v>15</v>
      </c>
      <c r="F28" s="16" t="s">
        <v>16</v>
      </c>
      <c r="G28" s="16" t="s">
        <v>20</v>
      </c>
      <c r="H28" s="16" t="s">
        <v>20</v>
      </c>
      <c r="I28" s="16" t="s">
        <v>81</v>
      </c>
      <c r="J28" s="16" t="s">
        <v>96</v>
      </c>
      <c r="K28" s="17" t="s">
        <v>20</v>
      </c>
      <c r="L28" s="13"/>
    </row>
    <row r="29" spans="1:12">
      <c r="A29" s="38">
        <f t="shared" si="0"/>
        <v>0</v>
      </c>
      <c r="B29" s="39" t="s">
        <v>53</v>
      </c>
      <c r="C29" s="40" t="s">
        <v>97</v>
      </c>
      <c r="D29" s="40" t="s">
        <v>24</v>
      </c>
      <c r="E29" s="40" t="s">
        <v>35</v>
      </c>
      <c r="F29" s="40" t="s">
        <v>16</v>
      </c>
      <c r="G29" s="40" t="s">
        <v>20</v>
      </c>
      <c r="H29" s="40" t="s">
        <v>20</v>
      </c>
      <c r="I29" s="40" t="s">
        <v>18</v>
      </c>
      <c r="J29" s="40" t="s">
        <v>98</v>
      </c>
      <c r="K29" s="41" t="s">
        <v>20</v>
      </c>
      <c r="L29" s="13"/>
    </row>
    <row r="30" spans="1:12">
      <c r="A30" s="42">
        <f t="shared" si="0"/>
        <v>0</v>
      </c>
      <c r="B30" s="43" t="s">
        <v>91</v>
      </c>
      <c r="C30" s="44" t="s">
        <v>99</v>
      </c>
      <c r="D30" s="44" t="s">
        <v>100</v>
      </c>
      <c r="E30" s="44" t="s">
        <v>35</v>
      </c>
      <c r="F30" s="44" t="s">
        <v>101</v>
      </c>
      <c r="G30" s="44" t="s">
        <v>16</v>
      </c>
      <c r="H30" s="44" t="s">
        <v>36</v>
      </c>
      <c r="I30" s="44" t="s">
        <v>81</v>
      </c>
      <c r="J30" s="44" t="s">
        <v>102</v>
      </c>
      <c r="K30" s="45" t="s">
        <v>103</v>
      </c>
      <c r="L30" s="46" t="s">
        <v>104</v>
      </c>
    </row>
    <row r="31" spans="1:12">
      <c r="A31" s="14">
        <f t="shared" si="0"/>
        <v>0</v>
      </c>
      <c r="B31" s="15" t="s">
        <v>91</v>
      </c>
      <c r="C31" s="16" t="s">
        <v>105</v>
      </c>
      <c r="D31" s="16" t="s">
        <v>100</v>
      </c>
      <c r="E31" s="16" t="s">
        <v>35</v>
      </c>
      <c r="F31" s="16" t="s">
        <v>106</v>
      </c>
      <c r="G31" s="16" t="s">
        <v>107</v>
      </c>
      <c r="H31" s="16" t="s">
        <v>75</v>
      </c>
      <c r="I31" s="16" t="s">
        <v>18</v>
      </c>
      <c r="J31" s="16" t="s">
        <v>108</v>
      </c>
      <c r="K31" s="17" t="s">
        <v>109</v>
      </c>
      <c r="L31" s="47"/>
    </row>
    <row r="32" spans="1:12">
      <c r="A32" s="48" t="str">
        <f t="shared" si="0"/>
        <v>-</v>
      </c>
      <c r="B32" s="49" t="s">
        <v>91</v>
      </c>
      <c r="C32" s="50" t="s">
        <v>105</v>
      </c>
      <c r="D32" s="50" t="s">
        <v>93</v>
      </c>
      <c r="E32" s="50" t="s">
        <v>35</v>
      </c>
      <c r="F32" s="50" t="s">
        <v>16</v>
      </c>
      <c r="G32" s="50">
        <v>1</v>
      </c>
      <c r="H32" s="50" t="s">
        <v>75</v>
      </c>
      <c r="I32" s="50" t="s">
        <v>29</v>
      </c>
      <c r="J32" s="50" t="s">
        <v>110</v>
      </c>
      <c r="K32" s="51" t="s">
        <v>111</v>
      </c>
      <c r="L32" s="47"/>
    </row>
    <row r="33" spans="1:12">
      <c r="A33" s="14">
        <f t="shared" si="0"/>
        <v>0</v>
      </c>
      <c r="B33" s="15" t="s">
        <v>91</v>
      </c>
      <c r="C33" s="16" t="s">
        <v>112</v>
      </c>
      <c r="D33" s="16" t="s">
        <v>113</v>
      </c>
      <c r="E33" s="16" t="s">
        <v>35</v>
      </c>
      <c r="F33" s="16" t="s">
        <v>106</v>
      </c>
      <c r="G33" s="16" t="s">
        <v>107</v>
      </c>
      <c r="H33" s="16" t="s">
        <v>75</v>
      </c>
      <c r="I33" s="16" t="s">
        <v>18</v>
      </c>
      <c r="J33" s="16" t="s">
        <v>114</v>
      </c>
      <c r="K33" s="17" t="s">
        <v>115</v>
      </c>
      <c r="L33" s="47"/>
    </row>
    <row r="34" spans="1:12">
      <c r="A34" s="48">
        <f t="shared" si="0"/>
        <v>0</v>
      </c>
      <c r="B34" s="49" t="s">
        <v>91</v>
      </c>
      <c r="C34" s="50" t="s">
        <v>112</v>
      </c>
      <c r="D34" s="50" t="s">
        <v>113</v>
      </c>
      <c r="E34" s="50" t="s">
        <v>35</v>
      </c>
      <c r="F34" s="50" t="s">
        <v>106</v>
      </c>
      <c r="G34" s="50" t="s">
        <v>116</v>
      </c>
      <c r="H34" s="50" t="s">
        <v>117</v>
      </c>
      <c r="I34" s="50" t="s">
        <v>18</v>
      </c>
      <c r="J34" s="50" t="s">
        <v>118</v>
      </c>
      <c r="K34" s="51" t="s">
        <v>115</v>
      </c>
      <c r="L34" s="47"/>
    </row>
    <row r="35" spans="1:12">
      <c r="A35" s="14" t="str">
        <f t="shared" si="0"/>
        <v>-</v>
      </c>
      <c r="B35" s="15" t="s">
        <v>91</v>
      </c>
      <c r="C35" s="16" t="s">
        <v>119</v>
      </c>
      <c r="D35" s="16" t="s">
        <v>113</v>
      </c>
      <c r="E35" s="16" t="s">
        <v>35</v>
      </c>
      <c r="F35" s="16" t="s">
        <v>106</v>
      </c>
      <c r="G35" s="16" t="s">
        <v>107</v>
      </c>
      <c r="H35" s="16" t="s">
        <v>75</v>
      </c>
      <c r="I35" s="16" t="s">
        <v>37</v>
      </c>
      <c r="J35" s="16" t="s">
        <v>120</v>
      </c>
      <c r="K35" s="17" t="s">
        <v>121</v>
      </c>
      <c r="L35" s="47"/>
    </row>
    <row r="36" spans="1:12">
      <c r="A36" s="48">
        <f t="shared" si="0"/>
        <v>0</v>
      </c>
      <c r="B36" s="49" t="s">
        <v>91</v>
      </c>
      <c r="C36" s="50" t="s">
        <v>122</v>
      </c>
      <c r="D36" s="50" t="s">
        <v>113</v>
      </c>
      <c r="E36" s="50" t="s">
        <v>35</v>
      </c>
      <c r="F36" s="50" t="s">
        <v>106</v>
      </c>
      <c r="G36" s="50" t="s">
        <v>107</v>
      </c>
      <c r="H36" s="50" t="s">
        <v>75</v>
      </c>
      <c r="I36" s="50" t="s">
        <v>18</v>
      </c>
      <c r="J36" s="50" t="s">
        <v>123</v>
      </c>
      <c r="K36" s="51" t="s">
        <v>124</v>
      </c>
      <c r="L36" s="47"/>
    </row>
    <row r="37" spans="1:12">
      <c r="A37" s="14">
        <f t="shared" si="0"/>
        <v>0</v>
      </c>
      <c r="B37" s="15" t="s">
        <v>91</v>
      </c>
      <c r="C37" s="16" t="s">
        <v>122</v>
      </c>
      <c r="D37" s="16" t="s">
        <v>113</v>
      </c>
      <c r="E37" s="16" t="s">
        <v>35</v>
      </c>
      <c r="F37" s="16" t="s">
        <v>106</v>
      </c>
      <c r="G37" s="16" t="s">
        <v>116</v>
      </c>
      <c r="H37" s="16" t="s">
        <v>117</v>
      </c>
      <c r="I37" s="16" t="s">
        <v>18</v>
      </c>
      <c r="J37" s="16" t="s">
        <v>125</v>
      </c>
      <c r="K37" s="17" t="s">
        <v>124</v>
      </c>
      <c r="L37" s="47"/>
    </row>
    <row r="38" spans="1:12">
      <c r="A38" s="48" t="str">
        <f t="shared" si="0"/>
        <v>-</v>
      </c>
      <c r="B38" s="49" t="s">
        <v>91</v>
      </c>
      <c r="C38" s="50" t="s">
        <v>122</v>
      </c>
      <c r="D38" s="50" t="s">
        <v>113</v>
      </c>
      <c r="E38" s="50" t="s">
        <v>35</v>
      </c>
      <c r="F38" s="50" t="s">
        <v>106</v>
      </c>
      <c r="G38" s="50" t="s">
        <v>113</v>
      </c>
      <c r="H38" s="50" t="s">
        <v>126</v>
      </c>
      <c r="I38" s="50" t="s">
        <v>37</v>
      </c>
      <c r="J38" s="50" t="s">
        <v>127</v>
      </c>
      <c r="K38" s="51" t="s">
        <v>128</v>
      </c>
      <c r="L38" s="47"/>
    </row>
    <row r="39" spans="1:12">
      <c r="A39" s="14" t="str">
        <f t="shared" si="0"/>
        <v>-</v>
      </c>
      <c r="B39" s="15" t="s">
        <v>91</v>
      </c>
      <c r="C39" s="16" t="s">
        <v>122</v>
      </c>
      <c r="D39" s="16" t="s">
        <v>113</v>
      </c>
      <c r="E39" s="16" t="s">
        <v>35</v>
      </c>
      <c r="F39" s="16" t="s">
        <v>106</v>
      </c>
      <c r="G39" s="16" t="s">
        <v>129</v>
      </c>
      <c r="H39" s="16" t="s">
        <v>126</v>
      </c>
      <c r="I39" s="16" t="s">
        <v>37</v>
      </c>
      <c r="J39" s="16" t="s">
        <v>127</v>
      </c>
      <c r="K39" s="17" t="s">
        <v>130</v>
      </c>
      <c r="L39" s="47"/>
    </row>
    <row r="40" spans="1:12">
      <c r="A40" s="48">
        <f t="shared" si="0"/>
        <v>0</v>
      </c>
      <c r="B40" s="49" t="s">
        <v>91</v>
      </c>
      <c r="C40" s="50" t="s">
        <v>122</v>
      </c>
      <c r="D40" s="50" t="s">
        <v>113</v>
      </c>
      <c r="E40" s="50" t="s">
        <v>35</v>
      </c>
      <c r="F40" s="50" t="s">
        <v>106</v>
      </c>
      <c r="G40" s="50" t="s">
        <v>116</v>
      </c>
      <c r="H40" s="50" t="s">
        <v>117</v>
      </c>
      <c r="I40" s="50" t="s">
        <v>18</v>
      </c>
      <c r="J40" s="50" t="s">
        <v>131</v>
      </c>
      <c r="K40" s="51" t="s">
        <v>132</v>
      </c>
      <c r="L40" s="47"/>
    </row>
    <row r="41" spans="1:12">
      <c r="A41" s="14" t="str">
        <f t="shared" si="0"/>
        <v>-</v>
      </c>
      <c r="B41" s="15" t="s">
        <v>91</v>
      </c>
      <c r="C41" s="16" t="s">
        <v>122</v>
      </c>
      <c r="D41" s="16" t="s">
        <v>113</v>
      </c>
      <c r="E41" s="16" t="s">
        <v>35</v>
      </c>
      <c r="F41" s="16" t="s">
        <v>106</v>
      </c>
      <c r="G41" s="16" t="s">
        <v>116</v>
      </c>
      <c r="H41" s="16" t="s">
        <v>75</v>
      </c>
      <c r="I41" s="52" t="s">
        <v>133</v>
      </c>
      <c r="J41" s="16" t="s">
        <v>134</v>
      </c>
      <c r="K41" s="17" t="s">
        <v>135</v>
      </c>
      <c r="L41" s="47"/>
    </row>
    <row r="42" spans="1:12">
      <c r="A42" s="48" t="str">
        <f t="shared" si="0"/>
        <v>-</v>
      </c>
      <c r="B42" s="49" t="s">
        <v>91</v>
      </c>
      <c r="C42" s="50" t="s">
        <v>136</v>
      </c>
      <c r="D42" s="50" t="s">
        <v>113</v>
      </c>
      <c r="E42" s="50" t="s">
        <v>35</v>
      </c>
      <c r="F42" s="50" t="s">
        <v>106</v>
      </c>
      <c r="G42" s="50" t="s">
        <v>107</v>
      </c>
      <c r="H42" s="50" t="s">
        <v>75</v>
      </c>
      <c r="I42" s="50" t="s">
        <v>37</v>
      </c>
      <c r="J42" s="50">
        <v>475</v>
      </c>
      <c r="K42" s="51" t="s">
        <v>137</v>
      </c>
      <c r="L42" s="47"/>
    </row>
    <row r="43" spans="1:12">
      <c r="A43" s="14">
        <f t="shared" si="0"/>
        <v>0</v>
      </c>
      <c r="B43" s="15" t="s">
        <v>91</v>
      </c>
      <c r="C43" s="16" t="s">
        <v>138</v>
      </c>
      <c r="D43" s="16" t="s">
        <v>113</v>
      </c>
      <c r="E43" s="16" t="s">
        <v>35</v>
      </c>
      <c r="F43" s="16" t="s">
        <v>106</v>
      </c>
      <c r="G43" s="16" t="s">
        <v>107</v>
      </c>
      <c r="H43" s="16" t="s">
        <v>75</v>
      </c>
      <c r="I43" s="16" t="s">
        <v>18</v>
      </c>
      <c r="J43" s="16" t="s">
        <v>102</v>
      </c>
      <c r="K43" s="17" t="s">
        <v>139</v>
      </c>
      <c r="L43" s="47"/>
    </row>
    <row r="44" spans="1:12">
      <c r="A44" s="48">
        <f t="shared" si="0"/>
        <v>0</v>
      </c>
      <c r="B44" s="49" t="s">
        <v>91</v>
      </c>
      <c r="C44" s="50" t="s">
        <v>138</v>
      </c>
      <c r="D44" s="50" t="s">
        <v>113</v>
      </c>
      <c r="E44" s="50" t="s">
        <v>35</v>
      </c>
      <c r="F44" s="50" t="s">
        <v>106</v>
      </c>
      <c r="G44" s="50" t="s">
        <v>140</v>
      </c>
      <c r="H44" s="50" t="s">
        <v>75</v>
      </c>
      <c r="I44" s="50" t="s">
        <v>18</v>
      </c>
      <c r="J44" s="50" t="s">
        <v>141</v>
      </c>
      <c r="K44" s="51" t="s">
        <v>139</v>
      </c>
      <c r="L44" s="47"/>
    </row>
    <row r="45" spans="1:12">
      <c r="A45" s="53" t="str">
        <f t="shared" si="0"/>
        <v>-</v>
      </c>
      <c r="B45" s="54" t="s">
        <v>91</v>
      </c>
      <c r="C45" s="55" t="s">
        <v>142</v>
      </c>
      <c r="D45" s="55" t="s">
        <v>113</v>
      </c>
      <c r="E45" s="55" t="s">
        <v>35</v>
      </c>
      <c r="F45" s="55" t="s">
        <v>106</v>
      </c>
      <c r="G45" s="55" t="s">
        <v>140</v>
      </c>
      <c r="H45" s="55" t="s">
        <v>143</v>
      </c>
      <c r="I45" s="55" t="s">
        <v>37</v>
      </c>
      <c r="J45" s="55">
        <v>650</v>
      </c>
      <c r="K45" s="56" t="s">
        <v>144</v>
      </c>
      <c r="L45" s="57"/>
    </row>
    <row r="46" spans="1:12">
      <c r="A46" s="58">
        <f t="shared" si="0"/>
        <v>0</v>
      </c>
      <c r="B46" s="59" t="s">
        <v>145</v>
      </c>
      <c r="C46" s="60" t="s">
        <v>146</v>
      </c>
      <c r="D46" s="60" t="s">
        <v>147</v>
      </c>
      <c r="E46" s="60" t="s">
        <v>35</v>
      </c>
      <c r="F46" s="60" t="s">
        <v>101</v>
      </c>
      <c r="G46" s="60" t="s">
        <v>16</v>
      </c>
      <c r="H46" s="60" t="s">
        <v>36</v>
      </c>
      <c r="I46" s="60" t="s">
        <v>81</v>
      </c>
      <c r="J46" s="60" t="s">
        <v>148</v>
      </c>
      <c r="K46" s="61" t="s">
        <v>149</v>
      </c>
      <c r="L46" s="62" t="s">
        <v>150</v>
      </c>
    </row>
    <row r="47" spans="1:12">
      <c r="A47" s="14">
        <f t="shared" si="0"/>
        <v>0</v>
      </c>
      <c r="B47" s="15" t="s">
        <v>145</v>
      </c>
      <c r="C47" s="16" t="s">
        <v>99</v>
      </c>
      <c r="D47" s="16" t="s">
        <v>151</v>
      </c>
      <c r="E47" s="16" t="s">
        <v>35</v>
      </c>
      <c r="F47" s="16" t="s">
        <v>16</v>
      </c>
      <c r="G47" s="16" t="s">
        <v>107</v>
      </c>
      <c r="H47" s="16" t="s">
        <v>117</v>
      </c>
      <c r="I47" s="16" t="s">
        <v>18</v>
      </c>
      <c r="J47" s="16" t="s">
        <v>152</v>
      </c>
      <c r="K47" s="17" t="s">
        <v>109</v>
      </c>
      <c r="L47" s="63"/>
    </row>
    <row r="48" spans="1:12">
      <c r="A48" s="9">
        <f t="shared" si="0"/>
        <v>0</v>
      </c>
      <c r="B48" s="64" t="s">
        <v>145</v>
      </c>
      <c r="C48" s="65" t="s">
        <v>153</v>
      </c>
      <c r="D48" s="65" t="s">
        <v>154</v>
      </c>
      <c r="E48" s="65" t="s">
        <v>35</v>
      </c>
      <c r="F48" s="65" t="s">
        <v>16</v>
      </c>
      <c r="G48" s="65" t="s">
        <v>107</v>
      </c>
      <c r="H48" s="65" t="s">
        <v>126</v>
      </c>
      <c r="I48" s="65" t="s">
        <v>18</v>
      </c>
      <c r="J48" s="65" t="s">
        <v>155</v>
      </c>
      <c r="K48" s="66" t="s">
        <v>156</v>
      </c>
      <c r="L48" s="63"/>
    </row>
    <row r="49" spans="1:12">
      <c r="A49" s="14" t="str">
        <f t="shared" si="0"/>
        <v>-</v>
      </c>
      <c r="B49" s="15" t="s">
        <v>145</v>
      </c>
      <c r="C49" s="16" t="s">
        <v>157</v>
      </c>
      <c r="D49" s="16" t="s">
        <v>158</v>
      </c>
      <c r="E49" s="16" t="s">
        <v>35</v>
      </c>
      <c r="F49" s="16" t="s">
        <v>159</v>
      </c>
      <c r="G49" s="16" t="s">
        <v>16</v>
      </c>
      <c r="H49" s="16" t="s">
        <v>75</v>
      </c>
      <c r="I49" s="16" t="s">
        <v>29</v>
      </c>
      <c r="J49" s="16" t="s">
        <v>160</v>
      </c>
      <c r="K49" s="17" t="s">
        <v>161</v>
      </c>
      <c r="L49" s="63"/>
    </row>
    <row r="50" spans="1:12">
      <c r="A50" s="67" t="str">
        <f t="shared" si="0"/>
        <v>-</v>
      </c>
      <c r="B50" s="68" t="s">
        <v>145</v>
      </c>
      <c r="C50" s="69" t="s">
        <v>162</v>
      </c>
      <c r="D50" s="69" t="s">
        <v>163</v>
      </c>
      <c r="E50" s="69" t="s">
        <v>35</v>
      </c>
      <c r="F50" s="69" t="s">
        <v>159</v>
      </c>
      <c r="G50" s="69" t="s">
        <v>16</v>
      </c>
      <c r="H50" s="69" t="s">
        <v>164</v>
      </c>
      <c r="I50" s="69" t="s">
        <v>29</v>
      </c>
      <c r="J50" s="69" t="s">
        <v>165</v>
      </c>
      <c r="K50" s="70" t="s">
        <v>139</v>
      </c>
      <c r="L50" s="63"/>
    </row>
    <row r="51" spans="1:12">
      <c r="A51" s="9">
        <f t="shared" si="0"/>
        <v>0</v>
      </c>
      <c r="B51" s="71" t="s">
        <v>145</v>
      </c>
      <c r="C51" s="72" t="s">
        <v>166</v>
      </c>
      <c r="D51" s="72" t="s">
        <v>167</v>
      </c>
      <c r="E51" s="72" t="s">
        <v>35</v>
      </c>
      <c r="F51" s="72" t="s">
        <v>16</v>
      </c>
      <c r="G51" s="72" t="s">
        <v>116</v>
      </c>
      <c r="H51" s="72" t="s">
        <v>75</v>
      </c>
      <c r="I51" s="72" t="s">
        <v>18</v>
      </c>
      <c r="J51" s="72" t="s">
        <v>168</v>
      </c>
      <c r="K51" s="73" t="s">
        <v>169</v>
      </c>
      <c r="L51" s="63"/>
    </row>
    <row r="52" spans="1:12">
      <c r="A52" s="14" t="str">
        <f t="shared" si="0"/>
        <v>-</v>
      </c>
      <c r="B52" s="74" t="s">
        <v>145</v>
      </c>
      <c r="C52" s="75" t="s">
        <v>162</v>
      </c>
      <c r="D52" s="75" t="s">
        <v>170</v>
      </c>
      <c r="E52" s="75" t="s">
        <v>35</v>
      </c>
      <c r="F52" s="75" t="s">
        <v>171</v>
      </c>
      <c r="G52" s="75" t="s">
        <v>100</v>
      </c>
      <c r="H52" s="75" t="s">
        <v>17</v>
      </c>
      <c r="I52" s="75" t="s">
        <v>37</v>
      </c>
      <c r="J52" s="75" t="s">
        <v>172</v>
      </c>
      <c r="K52" s="76" t="s">
        <v>173</v>
      </c>
      <c r="L52" s="63"/>
    </row>
    <row r="53" spans="1:12">
      <c r="A53" s="9">
        <f t="shared" si="0"/>
        <v>0</v>
      </c>
      <c r="B53" s="71" t="s">
        <v>145</v>
      </c>
      <c r="C53" s="72" t="s">
        <v>166</v>
      </c>
      <c r="D53" s="72" t="s">
        <v>167</v>
      </c>
      <c r="E53" s="72" t="s">
        <v>35</v>
      </c>
      <c r="F53" s="72" t="s">
        <v>16</v>
      </c>
      <c r="G53" s="72">
        <v>10</v>
      </c>
      <c r="H53" s="72" t="s">
        <v>75</v>
      </c>
      <c r="I53" s="72" t="s">
        <v>18</v>
      </c>
      <c r="J53" s="72" t="s">
        <v>174</v>
      </c>
      <c r="K53" s="73" t="s">
        <v>175</v>
      </c>
      <c r="L53" s="63"/>
    </row>
    <row r="54" spans="1:12">
      <c r="A54" s="14">
        <f t="shared" si="0"/>
        <v>0</v>
      </c>
      <c r="B54" s="74" t="s">
        <v>145</v>
      </c>
      <c r="C54" s="75" t="s">
        <v>166</v>
      </c>
      <c r="D54" s="75" t="s">
        <v>167</v>
      </c>
      <c r="E54" s="75" t="s">
        <v>35</v>
      </c>
      <c r="F54" s="75" t="s">
        <v>16</v>
      </c>
      <c r="G54" s="75" t="s">
        <v>176</v>
      </c>
      <c r="H54" s="75" t="s">
        <v>75</v>
      </c>
      <c r="I54" s="75" t="s">
        <v>18</v>
      </c>
      <c r="J54" s="75" t="s">
        <v>177</v>
      </c>
      <c r="K54" s="76" t="s">
        <v>156</v>
      </c>
      <c r="L54" s="63"/>
    </row>
    <row r="55" spans="1:12">
      <c r="A55" s="9" t="str">
        <f t="shared" si="0"/>
        <v>-</v>
      </c>
      <c r="B55" s="71" t="s">
        <v>145</v>
      </c>
      <c r="C55" s="72" t="s">
        <v>166</v>
      </c>
      <c r="D55" s="72" t="s">
        <v>167</v>
      </c>
      <c r="E55" s="72" t="s">
        <v>35</v>
      </c>
      <c r="F55" s="72" t="s">
        <v>16</v>
      </c>
      <c r="G55" s="72" t="s">
        <v>176</v>
      </c>
      <c r="H55" s="72" t="s">
        <v>75</v>
      </c>
      <c r="I55" s="72" t="s">
        <v>37</v>
      </c>
      <c r="J55" s="72" t="s">
        <v>178</v>
      </c>
      <c r="K55" s="73" t="s">
        <v>179</v>
      </c>
      <c r="L55" s="63"/>
    </row>
    <row r="56" spans="1:12">
      <c r="A56" s="14" t="str">
        <f t="shared" si="0"/>
        <v>-</v>
      </c>
      <c r="B56" s="74" t="s">
        <v>145</v>
      </c>
      <c r="C56" s="75" t="s">
        <v>180</v>
      </c>
      <c r="D56" s="75" t="s">
        <v>167</v>
      </c>
      <c r="E56" s="75" t="s">
        <v>35</v>
      </c>
      <c r="F56" s="75" t="s">
        <v>16</v>
      </c>
      <c r="G56" s="75" t="s">
        <v>176</v>
      </c>
      <c r="H56" s="75" t="s">
        <v>126</v>
      </c>
      <c r="I56" s="75" t="s">
        <v>37</v>
      </c>
      <c r="J56" s="75">
        <v>400</v>
      </c>
      <c r="K56" s="76" t="s">
        <v>61</v>
      </c>
      <c r="L56" s="63"/>
    </row>
    <row r="57" spans="1:12">
      <c r="A57" s="9">
        <f t="shared" si="0"/>
        <v>0</v>
      </c>
      <c r="B57" s="71" t="s">
        <v>145</v>
      </c>
      <c r="C57" s="72" t="s">
        <v>181</v>
      </c>
      <c r="D57" s="72" t="s">
        <v>75</v>
      </c>
      <c r="E57" s="72" t="s">
        <v>35</v>
      </c>
      <c r="F57" s="72" t="s">
        <v>182</v>
      </c>
      <c r="G57" s="72" t="s">
        <v>73</v>
      </c>
      <c r="H57" s="72" t="s">
        <v>75</v>
      </c>
      <c r="I57" s="72" t="s">
        <v>18</v>
      </c>
      <c r="J57" s="72" t="s">
        <v>183</v>
      </c>
      <c r="K57" s="73" t="s">
        <v>184</v>
      </c>
      <c r="L57" s="77" t="s">
        <v>185</v>
      </c>
    </row>
    <row r="58" spans="1:12">
      <c r="A58" s="9" t="str">
        <f t="shared" si="0"/>
        <v>-</v>
      </c>
      <c r="B58" s="10" t="s">
        <v>145</v>
      </c>
      <c r="C58" s="65" t="s">
        <v>186</v>
      </c>
      <c r="D58" s="65" t="s">
        <v>187</v>
      </c>
      <c r="E58" s="65" t="s">
        <v>15</v>
      </c>
      <c r="F58" s="65" t="s">
        <v>182</v>
      </c>
      <c r="G58" s="65" t="s">
        <v>73</v>
      </c>
      <c r="H58" s="65" t="s">
        <v>75</v>
      </c>
      <c r="I58" s="65" t="s">
        <v>29</v>
      </c>
      <c r="J58" s="65" t="s">
        <v>188</v>
      </c>
      <c r="K58" s="78" t="s">
        <v>189</v>
      </c>
      <c r="L58" s="79"/>
    </row>
    <row r="59" spans="1:12">
      <c r="A59" s="14" t="str">
        <f t="shared" si="0"/>
        <v>-</v>
      </c>
      <c r="B59" s="15" t="s">
        <v>145</v>
      </c>
      <c r="C59" s="16" t="s">
        <v>190</v>
      </c>
      <c r="D59" s="16" t="s">
        <v>187</v>
      </c>
      <c r="E59" s="16" t="s">
        <v>15</v>
      </c>
      <c r="F59" s="16" t="s">
        <v>182</v>
      </c>
      <c r="G59" s="16" t="s">
        <v>73</v>
      </c>
      <c r="H59" s="16" t="s">
        <v>75</v>
      </c>
      <c r="I59" s="16" t="s">
        <v>29</v>
      </c>
      <c r="J59" s="16" t="s">
        <v>191</v>
      </c>
      <c r="K59" s="80" t="s">
        <v>189</v>
      </c>
      <c r="L59" s="79"/>
    </row>
    <row r="60" spans="1:12">
      <c r="A60" s="9">
        <f t="shared" si="0"/>
        <v>0</v>
      </c>
      <c r="B60" s="64" t="s">
        <v>145</v>
      </c>
      <c r="C60" s="65" t="s">
        <v>192</v>
      </c>
      <c r="D60" s="65" t="s">
        <v>187</v>
      </c>
      <c r="E60" s="65" t="s">
        <v>15</v>
      </c>
      <c r="F60" s="65" t="s">
        <v>182</v>
      </c>
      <c r="G60" s="65" t="s">
        <v>73</v>
      </c>
      <c r="H60" s="65" t="s">
        <v>75</v>
      </c>
      <c r="I60" s="65" t="s">
        <v>18</v>
      </c>
      <c r="J60" s="65" t="s">
        <v>193</v>
      </c>
      <c r="K60" s="78" t="s">
        <v>189</v>
      </c>
      <c r="L60" s="79"/>
    </row>
    <row r="61" spans="1:12">
      <c r="A61" s="14">
        <f t="shared" si="0"/>
        <v>0</v>
      </c>
      <c r="B61" s="15" t="s">
        <v>145</v>
      </c>
      <c r="C61" s="16" t="s">
        <v>192</v>
      </c>
      <c r="D61" s="16" t="s">
        <v>187</v>
      </c>
      <c r="E61" s="16" t="s">
        <v>15</v>
      </c>
      <c r="F61" s="16" t="s">
        <v>16</v>
      </c>
      <c r="G61" s="16" t="s">
        <v>176</v>
      </c>
      <c r="H61" s="16" t="s">
        <v>75</v>
      </c>
      <c r="I61" s="16" t="s">
        <v>194</v>
      </c>
      <c r="J61" s="16" t="s">
        <v>195</v>
      </c>
      <c r="K61" s="80" t="s">
        <v>196</v>
      </c>
      <c r="L61" s="79"/>
    </row>
    <row r="62" spans="1:12">
      <c r="A62" s="9" t="str">
        <f t="shared" si="0"/>
        <v>-</v>
      </c>
      <c r="B62" s="64" t="s">
        <v>145</v>
      </c>
      <c r="C62" s="65" t="s">
        <v>192</v>
      </c>
      <c r="D62" s="65" t="s">
        <v>187</v>
      </c>
      <c r="E62" s="65" t="s">
        <v>15</v>
      </c>
      <c r="F62" s="65" t="s">
        <v>171</v>
      </c>
      <c r="G62" s="65" t="s">
        <v>176</v>
      </c>
      <c r="H62" s="65" t="s">
        <v>75</v>
      </c>
      <c r="I62" s="65" t="s">
        <v>37</v>
      </c>
      <c r="J62" s="65" t="s">
        <v>195</v>
      </c>
      <c r="K62" s="78" t="s">
        <v>132</v>
      </c>
      <c r="L62" s="79"/>
    </row>
    <row r="63" spans="1:12">
      <c r="A63" s="14" t="str">
        <f t="shared" si="0"/>
        <v>-</v>
      </c>
      <c r="B63" s="15" t="s">
        <v>145</v>
      </c>
      <c r="C63" s="16" t="s">
        <v>197</v>
      </c>
      <c r="D63" s="16" t="s">
        <v>98</v>
      </c>
      <c r="E63" s="16" t="s">
        <v>15</v>
      </c>
      <c r="F63" s="16" t="s">
        <v>182</v>
      </c>
      <c r="G63" s="16" t="s">
        <v>73</v>
      </c>
      <c r="H63" s="16" t="s">
        <v>75</v>
      </c>
      <c r="I63" s="16" t="s">
        <v>29</v>
      </c>
      <c r="J63" s="16" t="s">
        <v>198</v>
      </c>
      <c r="K63" s="80" t="s">
        <v>199</v>
      </c>
      <c r="L63" s="79"/>
    </row>
    <row r="64" spans="1:12">
      <c r="A64" s="9" t="str">
        <f t="shared" si="0"/>
        <v>-</v>
      </c>
      <c r="B64" s="64" t="s">
        <v>145</v>
      </c>
      <c r="C64" s="65" t="s">
        <v>200</v>
      </c>
      <c r="D64" s="65" t="s">
        <v>187</v>
      </c>
      <c r="E64" s="65" t="s">
        <v>15</v>
      </c>
      <c r="F64" s="65" t="s">
        <v>182</v>
      </c>
      <c r="G64" s="65" t="s">
        <v>73</v>
      </c>
      <c r="H64" s="65" t="s">
        <v>75</v>
      </c>
      <c r="I64" s="65" t="s">
        <v>133</v>
      </c>
      <c r="J64" s="65" t="s">
        <v>201</v>
      </c>
      <c r="K64" s="78" t="s">
        <v>199</v>
      </c>
      <c r="L64" s="79"/>
    </row>
    <row r="65" spans="1:12">
      <c r="A65" s="14" t="str">
        <f t="shared" si="0"/>
        <v>-</v>
      </c>
      <c r="B65" s="15" t="s">
        <v>145</v>
      </c>
      <c r="C65" s="16" t="s">
        <v>192</v>
      </c>
      <c r="D65" s="16" t="s">
        <v>187</v>
      </c>
      <c r="E65" s="16" t="s">
        <v>15</v>
      </c>
      <c r="F65" s="16" t="s">
        <v>171</v>
      </c>
      <c r="G65" s="16" t="s">
        <v>140</v>
      </c>
      <c r="H65" s="16" t="s">
        <v>75</v>
      </c>
      <c r="I65" s="16" t="s">
        <v>37</v>
      </c>
      <c r="J65" s="16" t="s">
        <v>202</v>
      </c>
      <c r="K65" s="80" t="s">
        <v>203</v>
      </c>
      <c r="L65" s="79"/>
    </row>
    <row r="66" spans="1:12">
      <c r="A66" s="38" t="str">
        <f t="shared" ref="A66:A105" si="1">IF(OR(I66="1920s,现代",$U$1="其他",I66=$U$1,I66="罕见"),T66,"-"&amp;T66)</f>
        <v>-</v>
      </c>
      <c r="B66" s="81" t="s">
        <v>145</v>
      </c>
      <c r="C66" s="82" t="s">
        <v>192</v>
      </c>
      <c r="D66" s="82" t="s">
        <v>187</v>
      </c>
      <c r="E66" s="82" t="s">
        <v>15</v>
      </c>
      <c r="F66" s="82" t="s">
        <v>16</v>
      </c>
      <c r="G66" s="82" t="s">
        <v>116</v>
      </c>
      <c r="H66" s="82" t="s">
        <v>126</v>
      </c>
      <c r="I66" s="82" t="s">
        <v>37</v>
      </c>
      <c r="J66" s="82" t="s">
        <v>204</v>
      </c>
      <c r="K66" s="83" t="s">
        <v>205</v>
      </c>
      <c r="L66" s="84"/>
    </row>
    <row r="67" spans="1:12">
      <c r="A67" s="85" t="str">
        <f t="shared" si="1"/>
        <v>-</v>
      </c>
      <c r="B67" s="86" t="s">
        <v>145</v>
      </c>
      <c r="C67" s="87" t="s">
        <v>162</v>
      </c>
      <c r="D67" s="87" t="s">
        <v>75</v>
      </c>
      <c r="E67" s="87" t="s">
        <v>35</v>
      </c>
      <c r="F67" s="87" t="s">
        <v>206</v>
      </c>
      <c r="G67" s="87" t="s">
        <v>151</v>
      </c>
      <c r="H67" s="87" t="s">
        <v>75</v>
      </c>
      <c r="I67" s="87" t="s">
        <v>37</v>
      </c>
      <c r="J67" s="87" t="s">
        <v>89</v>
      </c>
      <c r="K67" s="88" t="s">
        <v>207</v>
      </c>
      <c r="L67" s="89" t="s">
        <v>208</v>
      </c>
    </row>
    <row r="68" spans="1:12">
      <c r="A68" s="90" t="str">
        <f t="shared" si="1"/>
        <v>-</v>
      </c>
      <c r="B68" s="74" t="s">
        <v>145</v>
      </c>
      <c r="C68" s="75" t="s">
        <v>162</v>
      </c>
      <c r="D68" s="75" t="s">
        <v>167</v>
      </c>
      <c r="E68" s="75" t="s">
        <v>35</v>
      </c>
      <c r="F68" s="75" t="s">
        <v>206</v>
      </c>
      <c r="G68" s="75" t="s">
        <v>151</v>
      </c>
      <c r="H68" s="75" t="s">
        <v>17</v>
      </c>
      <c r="I68" s="75" t="s">
        <v>37</v>
      </c>
      <c r="J68" s="75" t="s">
        <v>209</v>
      </c>
      <c r="K68" s="76" t="s">
        <v>95</v>
      </c>
      <c r="L68" s="91"/>
    </row>
    <row r="69" spans="1:12">
      <c r="A69" s="92" t="str">
        <f t="shared" si="1"/>
        <v>-</v>
      </c>
      <c r="B69" s="93" t="s">
        <v>145</v>
      </c>
      <c r="C69" s="94" t="s">
        <v>210</v>
      </c>
      <c r="D69" s="94" t="s">
        <v>211</v>
      </c>
      <c r="E69" s="94" t="s">
        <v>35</v>
      </c>
      <c r="F69" s="94" t="s">
        <v>16</v>
      </c>
      <c r="G69" s="94" t="s">
        <v>212</v>
      </c>
      <c r="H69" s="94" t="s">
        <v>48</v>
      </c>
      <c r="I69" s="94" t="s">
        <v>37</v>
      </c>
      <c r="J69" s="94" t="s">
        <v>213</v>
      </c>
      <c r="K69" s="95" t="s">
        <v>214</v>
      </c>
      <c r="L69" s="91"/>
    </row>
    <row r="70" spans="1:12">
      <c r="A70" s="90" t="str">
        <f t="shared" si="1"/>
        <v>-</v>
      </c>
      <c r="B70" s="74" t="s">
        <v>145</v>
      </c>
      <c r="C70" s="75" t="s">
        <v>166</v>
      </c>
      <c r="D70" s="75" t="s">
        <v>167</v>
      </c>
      <c r="E70" s="75" t="s">
        <v>35</v>
      </c>
      <c r="F70" s="75" t="s">
        <v>215</v>
      </c>
      <c r="G70" s="75" t="s">
        <v>163</v>
      </c>
      <c r="H70" s="75" t="s">
        <v>17</v>
      </c>
      <c r="I70" s="75" t="s">
        <v>37</v>
      </c>
      <c r="J70" s="75" t="s">
        <v>216</v>
      </c>
      <c r="K70" s="76" t="s">
        <v>217</v>
      </c>
      <c r="L70" s="91"/>
    </row>
    <row r="71" spans="1:12">
      <c r="A71" s="92" t="str">
        <f t="shared" si="1"/>
        <v>-</v>
      </c>
      <c r="B71" s="93" t="s">
        <v>145</v>
      </c>
      <c r="C71" s="94" t="s">
        <v>153</v>
      </c>
      <c r="D71" s="94" t="s">
        <v>167</v>
      </c>
      <c r="E71" s="94" t="s">
        <v>35</v>
      </c>
      <c r="F71" s="94" t="s">
        <v>218</v>
      </c>
      <c r="G71" s="94" t="s">
        <v>163</v>
      </c>
      <c r="H71" s="94" t="s">
        <v>126</v>
      </c>
      <c r="I71" s="94" t="s">
        <v>37</v>
      </c>
      <c r="J71" s="94" t="s">
        <v>219</v>
      </c>
      <c r="K71" s="95" t="s">
        <v>220</v>
      </c>
      <c r="L71" s="91"/>
    </row>
    <row r="72" spans="1:12">
      <c r="A72" s="90" t="str">
        <f t="shared" si="1"/>
        <v>-</v>
      </c>
      <c r="B72" s="74" t="s">
        <v>145</v>
      </c>
      <c r="C72" s="75" t="s">
        <v>153</v>
      </c>
      <c r="D72" s="75" t="s">
        <v>167</v>
      </c>
      <c r="E72" s="75" t="s">
        <v>35</v>
      </c>
      <c r="F72" s="75" t="s">
        <v>215</v>
      </c>
      <c r="G72" s="75" t="s">
        <v>151</v>
      </c>
      <c r="H72" s="75" t="s">
        <v>17</v>
      </c>
      <c r="I72" s="75" t="s">
        <v>37</v>
      </c>
      <c r="J72" s="75" t="s">
        <v>198</v>
      </c>
      <c r="K72" s="76" t="s">
        <v>221</v>
      </c>
      <c r="L72" s="91"/>
    </row>
    <row r="73" spans="1:12">
      <c r="A73" s="92" t="str">
        <f t="shared" si="1"/>
        <v>-</v>
      </c>
      <c r="B73" s="93" t="s">
        <v>145</v>
      </c>
      <c r="C73" s="94" t="s">
        <v>153</v>
      </c>
      <c r="D73" s="94" t="s">
        <v>170</v>
      </c>
      <c r="E73" s="94" t="s">
        <v>35</v>
      </c>
      <c r="F73" s="94" t="s">
        <v>222</v>
      </c>
      <c r="G73" s="94" t="s">
        <v>151</v>
      </c>
      <c r="H73" s="94" t="s">
        <v>17</v>
      </c>
      <c r="I73" s="94" t="s">
        <v>37</v>
      </c>
      <c r="J73" s="94" t="s">
        <v>198</v>
      </c>
      <c r="K73" s="95" t="s">
        <v>223</v>
      </c>
      <c r="L73" s="91"/>
    </row>
    <row r="74" spans="1:12">
      <c r="A74" s="90" t="str">
        <f t="shared" si="1"/>
        <v>-</v>
      </c>
      <c r="B74" s="74" t="s">
        <v>145</v>
      </c>
      <c r="C74" s="75" t="s">
        <v>153</v>
      </c>
      <c r="D74" s="75" t="s">
        <v>167</v>
      </c>
      <c r="E74" s="75" t="s">
        <v>35</v>
      </c>
      <c r="F74" s="75" t="s">
        <v>206</v>
      </c>
      <c r="G74" s="75" t="s">
        <v>151</v>
      </c>
      <c r="H74" s="75" t="s">
        <v>117</v>
      </c>
      <c r="I74" s="75" t="s">
        <v>37</v>
      </c>
      <c r="J74" s="75" t="s">
        <v>224</v>
      </c>
      <c r="K74" s="76" t="s">
        <v>225</v>
      </c>
      <c r="L74" s="91"/>
    </row>
    <row r="75" spans="1:12">
      <c r="A75" s="92" t="str">
        <f t="shared" si="1"/>
        <v>-</v>
      </c>
      <c r="B75" s="93" t="s">
        <v>145</v>
      </c>
      <c r="C75" s="94" t="s">
        <v>153</v>
      </c>
      <c r="D75" s="94" t="s">
        <v>167</v>
      </c>
      <c r="E75" s="94" t="s">
        <v>35</v>
      </c>
      <c r="F75" s="94" t="s">
        <v>226</v>
      </c>
      <c r="G75" s="94" t="s">
        <v>151</v>
      </c>
      <c r="H75" s="94" t="s">
        <v>117</v>
      </c>
      <c r="I75" s="94" t="s">
        <v>37</v>
      </c>
      <c r="J75" s="94" t="s">
        <v>227</v>
      </c>
      <c r="K75" s="95" t="s">
        <v>228</v>
      </c>
      <c r="L75" s="96"/>
    </row>
    <row r="76" spans="1:12">
      <c r="A76" s="90" t="str">
        <f t="shared" si="1"/>
        <v>-</v>
      </c>
      <c r="B76" s="74" t="s">
        <v>229</v>
      </c>
      <c r="C76" s="75" t="s">
        <v>122</v>
      </c>
      <c r="D76" s="75" t="s">
        <v>163</v>
      </c>
      <c r="E76" s="75" t="s">
        <v>35</v>
      </c>
      <c r="F76" s="75" t="s">
        <v>206</v>
      </c>
      <c r="G76" s="75" t="s">
        <v>230</v>
      </c>
      <c r="H76" s="75" t="s">
        <v>48</v>
      </c>
      <c r="I76" s="75" t="s">
        <v>29</v>
      </c>
      <c r="J76" s="75" t="s">
        <v>231</v>
      </c>
      <c r="K76" s="76" t="s">
        <v>232</v>
      </c>
      <c r="L76" s="97" t="s">
        <v>233</v>
      </c>
    </row>
    <row r="77" spans="1:12">
      <c r="A77" s="92" t="str">
        <f t="shared" si="1"/>
        <v>-</v>
      </c>
      <c r="B77" s="93" t="s">
        <v>229</v>
      </c>
      <c r="C77" s="94" t="s">
        <v>122</v>
      </c>
      <c r="D77" s="94" t="s">
        <v>163</v>
      </c>
      <c r="E77" s="94" t="s">
        <v>35</v>
      </c>
      <c r="F77" s="94" t="s">
        <v>206</v>
      </c>
      <c r="G77" s="94" t="s">
        <v>234</v>
      </c>
      <c r="H77" s="94" t="s">
        <v>17</v>
      </c>
      <c r="I77" s="94" t="s">
        <v>37</v>
      </c>
      <c r="J77" s="94" t="s">
        <v>198</v>
      </c>
      <c r="K77" s="95" t="s">
        <v>235</v>
      </c>
      <c r="L77" s="97"/>
    </row>
    <row r="78" spans="1:12">
      <c r="A78" s="90" t="str">
        <f t="shared" si="1"/>
        <v>-</v>
      </c>
      <c r="B78" s="74" t="s">
        <v>229</v>
      </c>
      <c r="C78" s="75" t="s">
        <v>122</v>
      </c>
      <c r="D78" s="75" t="s">
        <v>113</v>
      </c>
      <c r="E78" s="75" t="s">
        <v>35</v>
      </c>
      <c r="F78" s="75" t="s">
        <v>236</v>
      </c>
      <c r="G78" s="75" t="s">
        <v>237</v>
      </c>
      <c r="H78" s="75" t="s">
        <v>48</v>
      </c>
      <c r="I78" s="75" t="s">
        <v>37</v>
      </c>
      <c r="J78" s="75" t="s">
        <v>238</v>
      </c>
      <c r="K78" s="76" t="s">
        <v>228</v>
      </c>
      <c r="L78" s="97"/>
    </row>
    <row r="79" spans="1:12">
      <c r="A79" s="92" t="str">
        <f t="shared" si="1"/>
        <v>-</v>
      </c>
      <c r="B79" s="93" t="s">
        <v>229</v>
      </c>
      <c r="C79" s="94" t="s">
        <v>112</v>
      </c>
      <c r="D79" s="94" t="s">
        <v>113</v>
      </c>
      <c r="E79" s="94" t="s">
        <v>35</v>
      </c>
      <c r="F79" s="94" t="s">
        <v>236</v>
      </c>
      <c r="G79" s="94" t="s">
        <v>163</v>
      </c>
      <c r="H79" s="94" t="s">
        <v>48</v>
      </c>
      <c r="I79" s="94" t="s">
        <v>37</v>
      </c>
      <c r="J79" s="94" t="s">
        <v>198</v>
      </c>
      <c r="K79" s="95" t="s">
        <v>239</v>
      </c>
      <c r="L79" s="97"/>
    </row>
    <row r="80" spans="1:12">
      <c r="A80" s="90" t="str">
        <f t="shared" si="1"/>
        <v>-</v>
      </c>
      <c r="B80" s="74" t="s">
        <v>229</v>
      </c>
      <c r="C80" s="75" t="s">
        <v>138</v>
      </c>
      <c r="D80" s="75" t="s">
        <v>163</v>
      </c>
      <c r="E80" s="75" t="s">
        <v>35</v>
      </c>
      <c r="F80" s="75" t="s">
        <v>226</v>
      </c>
      <c r="G80" s="75" t="s">
        <v>240</v>
      </c>
      <c r="H80" s="75" t="s">
        <v>48</v>
      </c>
      <c r="I80" s="75" t="s">
        <v>29</v>
      </c>
      <c r="J80" s="75" t="s">
        <v>241</v>
      </c>
      <c r="K80" s="76" t="s">
        <v>242</v>
      </c>
      <c r="L80" s="97"/>
    </row>
    <row r="81" spans="1:12">
      <c r="A81" s="92" t="str">
        <f t="shared" si="1"/>
        <v>-</v>
      </c>
      <c r="B81" s="93" t="s">
        <v>229</v>
      </c>
      <c r="C81" s="94" t="s">
        <v>122</v>
      </c>
      <c r="D81" s="94" t="s">
        <v>163</v>
      </c>
      <c r="E81" s="94" t="s">
        <v>35</v>
      </c>
      <c r="F81" s="94" t="s">
        <v>206</v>
      </c>
      <c r="G81" s="94" t="s">
        <v>237</v>
      </c>
      <c r="H81" s="94" t="s">
        <v>126</v>
      </c>
      <c r="I81" s="94" t="s">
        <v>37</v>
      </c>
      <c r="J81" s="94" t="s">
        <v>209</v>
      </c>
      <c r="K81" s="95" t="s">
        <v>217</v>
      </c>
      <c r="L81" s="97"/>
    </row>
    <row r="82" spans="1:12">
      <c r="A82" s="90" t="str">
        <f t="shared" si="1"/>
        <v>-</v>
      </c>
      <c r="B82" s="74" t="s">
        <v>243</v>
      </c>
      <c r="C82" s="75" t="s">
        <v>166</v>
      </c>
      <c r="D82" s="75" t="s">
        <v>75</v>
      </c>
      <c r="E82" s="75" t="s">
        <v>35</v>
      </c>
      <c r="F82" s="75" t="s">
        <v>244</v>
      </c>
      <c r="G82" s="75" t="s">
        <v>165</v>
      </c>
      <c r="H82" s="75" t="s">
        <v>48</v>
      </c>
      <c r="I82" s="75" t="s">
        <v>133</v>
      </c>
      <c r="J82" s="75" t="s">
        <v>245</v>
      </c>
      <c r="K82" s="76" t="s">
        <v>246</v>
      </c>
      <c r="L82" s="98" t="s">
        <v>247</v>
      </c>
    </row>
    <row r="83" spans="1:12">
      <c r="A83" s="92" t="str">
        <f t="shared" si="1"/>
        <v>-</v>
      </c>
      <c r="B83" s="93" t="s">
        <v>243</v>
      </c>
      <c r="C83" s="94" t="s">
        <v>166</v>
      </c>
      <c r="D83" s="94" t="s">
        <v>170</v>
      </c>
      <c r="E83" s="94" t="s">
        <v>35</v>
      </c>
      <c r="F83" s="94" t="s">
        <v>206</v>
      </c>
      <c r="G83" s="94" t="s">
        <v>163</v>
      </c>
      <c r="H83" s="94" t="s">
        <v>75</v>
      </c>
      <c r="I83" s="94" t="s">
        <v>29</v>
      </c>
      <c r="J83" s="94" t="s">
        <v>248</v>
      </c>
      <c r="K83" s="95" t="s">
        <v>232</v>
      </c>
      <c r="L83" s="98"/>
    </row>
    <row r="84" spans="1:12">
      <c r="A84" s="90" t="str">
        <f t="shared" si="1"/>
        <v>-</v>
      </c>
      <c r="B84" s="74" t="s">
        <v>243</v>
      </c>
      <c r="C84" s="75" t="s">
        <v>166</v>
      </c>
      <c r="D84" s="75" t="s">
        <v>249</v>
      </c>
      <c r="E84" s="75" t="s">
        <v>35</v>
      </c>
      <c r="F84" s="75" t="s">
        <v>244</v>
      </c>
      <c r="G84" s="75" t="s">
        <v>211</v>
      </c>
      <c r="H84" s="75" t="s">
        <v>48</v>
      </c>
      <c r="I84" s="75" t="s">
        <v>29</v>
      </c>
      <c r="J84" s="75" t="s">
        <v>250</v>
      </c>
      <c r="K84" s="76" t="s">
        <v>251</v>
      </c>
      <c r="L84" s="98"/>
    </row>
    <row r="85" spans="1:12">
      <c r="A85" s="92" t="str">
        <f t="shared" si="1"/>
        <v>-</v>
      </c>
      <c r="B85" s="93" t="s">
        <v>243</v>
      </c>
      <c r="C85" s="94" t="s">
        <v>166</v>
      </c>
      <c r="D85" s="94" t="s">
        <v>167</v>
      </c>
      <c r="E85" s="94" t="s">
        <v>35</v>
      </c>
      <c r="F85" s="94" t="s">
        <v>226</v>
      </c>
      <c r="G85" s="94" t="s">
        <v>252</v>
      </c>
      <c r="H85" s="94" t="s">
        <v>48</v>
      </c>
      <c r="I85" s="94" t="s">
        <v>29</v>
      </c>
      <c r="J85" s="94" t="s">
        <v>253</v>
      </c>
      <c r="K85" s="95" t="s">
        <v>242</v>
      </c>
      <c r="L85" s="98"/>
    </row>
    <row r="86" spans="1:12">
      <c r="A86" s="90" t="str">
        <f t="shared" si="1"/>
        <v>-</v>
      </c>
      <c r="B86" s="74" t="s">
        <v>243</v>
      </c>
      <c r="C86" s="75" t="s">
        <v>166</v>
      </c>
      <c r="D86" s="75" t="s">
        <v>167</v>
      </c>
      <c r="E86" s="75" t="s">
        <v>35</v>
      </c>
      <c r="F86" s="75" t="s">
        <v>244</v>
      </c>
      <c r="G86" s="75" t="s">
        <v>254</v>
      </c>
      <c r="H86" s="75" t="s">
        <v>48</v>
      </c>
      <c r="I86" s="75" t="s">
        <v>29</v>
      </c>
      <c r="J86" s="75" t="s">
        <v>255</v>
      </c>
      <c r="K86" s="76" t="s">
        <v>189</v>
      </c>
      <c r="L86" s="98"/>
    </row>
    <row r="87" spans="1:12">
      <c r="A87" s="99" t="str">
        <f t="shared" si="1"/>
        <v>-</v>
      </c>
      <c r="B87" s="100" t="s">
        <v>243</v>
      </c>
      <c r="C87" s="101" t="s">
        <v>166</v>
      </c>
      <c r="D87" s="101" t="s">
        <v>165</v>
      </c>
      <c r="E87" s="101" t="s">
        <v>35</v>
      </c>
      <c r="F87" s="101" t="s">
        <v>244</v>
      </c>
      <c r="G87" s="101" t="s">
        <v>256</v>
      </c>
      <c r="H87" s="101" t="s">
        <v>126</v>
      </c>
      <c r="I87" s="101" t="s">
        <v>37</v>
      </c>
      <c r="J87" s="101" t="s">
        <v>198</v>
      </c>
      <c r="K87" s="102" t="s">
        <v>257</v>
      </c>
      <c r="L87" s="98"/>
    </row>
    <row r="88" spans="1:12">
      <c r="A88" s="90" t="str">
        <f t="shared" si="1"/>
        <v>-</v>
      </c>
      <c r="B88" s="74" t="s">
        <v>243</v>
      </c>
      <c r="C88" s="75" t="s">
        <v>153</v>
      </c>
      <c r="D88" s="75" t="s">
        <v>167</v>
      </c>
      <c r="E88" s="75" t="s">
        <v>35</v>
      </c>
      <c r="F88" s="75" t="s">
        <v>244</v>
      </c>
      <c r="G88" s="75" t="s">
        <v>258</v>
      </c>
      <c r="H88" s="75" t="s">
        <v>117</v>
      </c>
      <c r="I88" s="75" t="s">
        <v>37</v>
      </c>
      <c r="J88" s="75" t="s">
        <v>198</v>
      </c>
      <c r="K88" s="76" t="s">
        <v>144</v>
      </c>
      <c r="L88" s="98"/>
    </row>
    <row r="89" spans="1:12">
      <c r="A89" s="103" t="str">
        <f t="shared" si="1"/>
        <v>-</v>
      </c>
      <c r="B89" s="104" t="s">
        <v>243</v>
      </c>
      <c r="C89" s="105" t="s">
        <v>166</v>
      </c>
      <c r="D89" s="105" t="s">
        <v>167</v>
      </c>
      <c r="E89" s="105" t="s">
        <v>35</v>
      </c>
      <c r="F89" s="105" t="s">
        <v>244</v>
      </c>
      <c r="G89" s="105" t="s">
        <v>211</v>
      </c>
      <c r="H89" s="105" t="s">
        <v>117</v>
      </c>
      <c r="I89" s="105" t="s">
        <v>29</v>
      </c>
      <c r="J89" s="105" t="s">
        <v>198</v>
      </c>
      <c r="K89" s="106" t="s">
        <v>66</v>
      </c>
      <c r="L89" s="98"/>
    </row>
    <row r="90" spans="1:12">
      <c r="A90" s="107">
        <f t="shared" si="1"/>
        <v>0</v>
      </c>
      <c r="B90" s="108" t="s">
        <v>69</v>
      </c>
      <c r="C90" s="109" t="s">
        <v>259</v>
      </c>
      <c r="D90" s="109" t="s">
        <v>80</v>
      </c>
      <c r="E90" s="109" t="s">
        <v>35</v>
      </c>
      <c r="F90" s="109" t="s">
        <v>47</v>
      </c>
      <c r="G90" s="109" t="s">
        <v>74</v>
      </c>
      <c r="H90" s="109" t="s">
        <v>36</v>
      </c>
      <c r="I90" s="109" t="s">
        <v>18</v>
      </c>
      <c r="J90" s="109" t="s">
        <v>198</v>
      </c>
      <c r="K90" s="110" t="s">
        <v>169</v>
      </c>
      <c r="L90" s="111" t="s">
        <v>260</v>
      </c>
    </row>
    <row r="91" spans="1:12">
      <c r="A91" s="14">
        <f t="shared" si="1"/>
        <v>0</v>
      </c>
      <c r="B91" s="15" t="s">
        <v>91</v>
      </c>
      <c r="C91" s="16" t="s">
        <v>261</v>
      </c>
      <c r="D91" s="16" t="s">
        <v>100</v>
      </c>
      <c r="E91" s="16" t="s">
        <v>35</v>
      </c>
      <c r="F91" s="16" t="s">
        <v>47</v>
      </c>
      <c r="G91" s="16" t="s">
        <v>16</v>
      </c>
      <c r="H91" s="16" t="s">
        <v>75</v>
      </c>
      <c r="I91" s="16" t="s">
        <v>18</v>
      </c>
      <c r="J91" s="16" t="s">
        <v>262</v>
      </c>
      <c r="K91" s="17" t="s">
        <v>263</v>
      </c>
      <c r="L91" s="111"/>
    </row>
    <row r="92" spans="1:12">
      <c r="A92" s="112" t="str">
        <f t="shared" si="1"/>
        <v>-</v>
      </c>
      <c r="B92" s="71" t="s">
        <v>264</v>
      </c>
      <c r="C92" s="72" t="s">
        <v>265</v>
      </c>
      <c r="D92" s="72" t="s">
        <v>163</v>
      </c>
      <c r="E92" s="72" t="s">
        <v>35</v>
      </c>
      <c r="F92" s="72" t="s">
        <v>159</v>
      </c>
      <c r="G92" s="72" t="s">
        <v>16</v>
      </c>
      <c r="H92" s="72" t="s">
        <v>117</v>
      </c>
      <c r="I92" s="72" t="s">
        <v>37</v>
      </c>
      <c r="J92" s="72" t="s">
        <v>198</v>
      </c>
      <c r="K92" s="73" t="s">
        <v>189</v>
      </c>
      <c r="L92" s="113"/>
    </row>
    <row r="93" spans="1:12">
      <c r="A93" s="112">
        <f t="shared" si="1"/>
        <v>0</v>
      </c>
      <c r="B93" s="74" t="s">
        <v>69</v>
      </c>
      <c r="C93" s="75" t="s">
        <v>266</v>
      </c>
      <c r="D93" s="75" t="s">
        <v>71</v>
      </c>
      <c r="E93" s="75" t="s">
        <v>35</v>
      </c>
      <c r="F93" s="75" t="s">
        <v>47</v>
      </c>
      <c r="G93" s="75" t="s">
        <v>74</v>
      </c>
      <c r="H93" s="75" t="s">
        <v>117</v>
      </c>
      <c r="I93" s="75" t="s">
        <v>18</v>
      </c>
      <c r="J93" s="75" t="s">
        <v>267</v>
      </c>
      <c r="K93" s="76" t="s">
        <v>268</v>
      </c>
      <c r="L93" s="111"/>
    </row>
    <row r="94" spans="1:12">
      <c r="A94" s="112">
        <f t="shared" si="1"/>
        <v>0</v>
      </c>
      <c r="B94" s="71" t="s">
        <v>269</v>
      </c>
      <c r="C94" s="72" t="s">
        <v>270</v>
      </c>
      <c r="D94" s="72" t="s">
        <v>198</v>
      </c>
      <c r="E94" s="72" t="s">
        <v>35</v>
      </c>
      <c r="F94" s="72" t="s">
        <v>198</v>
      </c>
      <c r="G94" s="72" t="s">
        <v>74</v>
      </c>
      <c r="H94" s="72" t="s">
        <v>75</v>
      </c>
      <c r="I94" s="72" t="s">
        <v>18</v>
      </c>
      <c r="J94" s="72" t="s">
        <v>271</v>
      </c>
      <c r="K94" s="73" t="s">
        <v>272</v>
      </c>
      <c r="L94" s="111"/>
    </row>
    <row r="95" spans="1:12">
      <c r="A95" s="112">
        <f t="shared" si="1"/>
        <v>0</v>
      </c>
      <c r="B95" s="74" t="s">
        <v>273</v>
      </c>
      <c r="C95" s="75" t="s">
        <v>274</v>
      </c>
      <c r="D95" s="75" t="s">
        <v>275</v>
      </c>
      <c r="E95" s="75" t="s">
        <v>35</v>
      </c>
      <c r="F95" s="75" t="s">
        <v>276</v>
      </c>
      <c r="G95" s="75" t="s">
        <v>74</v>
      </c>
      <c r="H95" s="75" t="s">
        <v>36</v>
      </c>
      <c r="I95" s="75" t="s">
        <v>18</v>
      </c>
      <c r="J95" s="75" t="s">
        <v>198</v>
      </c>
      <c r="K95" s="76" t="s">
        <v>277</v>
      </c>
      <c r="L95" s="111"/>
    </row>
    <row r="96" spans="1:12">
      <c r="A96" s="112" t="str">
        <f t="shared" si="1"/>
        <v>-</v>
      </c>
      <c r="B96" s="71" t="s">
        <v>273</v>
      </c>
      <c r="C96" s="72" t="s">
        <v>278</v>
      </c>
      <c r="D96" s="72" t="s">
        <v>275</v>
      </c>
      <c r="E96" s="72" t="s">
        <v>35</v>
      </c>
      <c r="F96" s="72" t="s">
        <v>276</v>
      </c>
      <c r="G96" s="72" t="s">
        <v>74</v>
      </c>
      <c r="H96" s="72" t="s">
        <v>117</v>
      </c>
      <c r="I96" s="72" t="s">
        <v>37</v>
      </c>
      <c r="J96" s="72" t="s">
        <v>198</v>
      </c>
      <c r="K96" s="73" t="s">
        <v>279</v>
      </c>
      <c r="L96" s="111"/>
    </row>
    <row r="97" spans="1:12">
      <c r="A97" s="112">
        <f t="shared" si="1"/>
        <v>0</v>
      </c>
      <c r="B97" s="74" t="s">
        <v>69</v>
      </c>
      <c r="C97" s="75" t="s">
        <v>266</v>
      </c>
      <c r="D97" s="75" t="s">
        <v>71</v>
      </c>
      <c r="E97" s="75" t="s">
        <v>35</v>
      </c>
      <c r="F97" s="75" t="s">
        <v>47</v>
      </c>
      <c r="G97" s="75" t="s">
        <v>74</v>
      </c>
      <c r="H97" s="75" t="s">
        <v>117</v>
      </c>
      <c r="I97" s="75" t="s">
        <v>18</v>
      </c>
      <c r="J97" s="75" t="s">
        <v>198</v>
      </c>
      <c r="K97" s="76" t="s">
        <v>280</v>
      </c>
      <c r="L97" s="111"/>
    </row>
    <row r="98" spans="1:12">
      <c r="A98" s="112" t="str">
        <f t="shared" si="1"/>
        <v>-</v>
      </c>
      <c r="B98" s="71" t="s">
        <v>281</v>
      </c>
      <c r="C98" s="72" t="s">
        <v>282</v>
      </c>
      <c r="D98" s="72" t="s">
        <v>283</v>
      </c>
      <c r="E98" s="72" t="s">
        <v>35</v>
      </c>
      <c r="F98" s="72" t="s">
        <v>73</v>
      </c>
      <c r="G98" s="72" t="s">
        <v>284</v>
      </c>
      <c r="H98" s="72" t="s">
        <v>75</v>
      </c>
      <c r="I98" s="72" t="s">
        <v>37</v>
      </c>
      <c r="J98" s="72" t="s">
        <v>198</v>
      </c>
      <c r="K98" s="73" t="s">
        <v>139</v>
      </c>
      <c r="L98" s="111"/>
    </row>
    <row r="99" spans="1:12">
      <c r="A99" s="112">
        <f t="shared" si="1"/>
        <v>0</v>
      </c>
      <c r="B99" s="15" t="s">
        <v>281</v>
      </c>
      <c r="C99" s="16" t="s">
        <v>285</v>
      </c>
      <c r="D99" s="16" t="s">
        <v>283</v>
      </c>
      <c r="E99" s="16" t="s">
        <v>35</v>
      </c>
      <c r="F99" s="16" t="s">
        <v>101</v>
      </c>
      <c r="G99" s="16" t="s">
        <v>284</v>
      </c>
      <c r="H99" s="16" t="s">
        <v>117</v>
      </c>
      <c r="I99" s="16" t="s">
        <v>18</v>
      </c>
      <c r="J99" s="16" t="s">
        <v>286</v>
      </c>
      <c r="K99" s="17" t="s">
        <v>287</v>
      </c>
      <c r="L99" s="111"/>
    </row>
    <row r="100" spans="1:12">
      <c r="A100" s="112" t="str">
        <f t="shared" si="1"/>
        <v>-</v>
      </c>
      <c r="B100" s="71" t="s">
        <v>281</v>
      </c>
      <c r="C100" s="72" t="s">
        <v>285</v>
      </c>
      <c r="D100" s="72" t="s">
        <v>288</v>
      </c>
      <c r="E100" s="72" t="s">
        <v>35</v>
      </c>
      <c r="F100" s="72" t="s">
        <v>16</v>
      </c>
      <c r="G100" s="72" t="s">
        <v>284</v>
      </c>
      <c r="H100" s="72" t="s">
        <v>75</v>
      </c>
      <c r="I100" s="72" t="s">
        <v>37</v>
      </c>
      <c r="J100" s="72" t="s">
        <v>198</v>
      </c>
      <c r="K100" s="73" t="s">
        <v>251</v>
      </c>
      <c r="L100" s="111"/>
    </row>
    <row r="101" spans="1:12">
      <c r="A101" s="112" t="str">
        <f t="shared" si="1"/>
        <v>-</v>
      </c>
      <c r="B101" s="15" t="s">
        <v>281</v>
      </c>
      <c r="C101" s="16" t="s">
        <v>289</v>
      </c>
      <c r="D101" s="16" t="s">
        <v>290</v>
      </c>
      <c r="E101" s="16" t="s">
        <v>35</v>
      </c>
      <c r="F101" s="16">
        <v>1</v>
      </c>
      <c r="G101" s="16" t="s">
        <v>291</v>
      </c>
      <c r="H101" s="16" t="s">
        <v>126</v>
      </c>
      <c r="I101" s="16" t="s">
        <v>37</v>
      </c>
      <c r="J101" s="16" t="s">
        <v>198</v>
      </c>
      <c r="K101" s="17" t="s">
        <v>292</v>
      </c>
      <c r="L101" s="111"/>
    </row>
    <row r="102" spans="1:12">
      <c r="A102" s="112">
        <f t="shared" si="1"/>
        <v>0</v>
      </c>
      <c r="B102" s="71" t="s">
        <v>273</v>
      </c>
      <c r="C102" s="72" t="s">
        <v>293</v>
      </c>
      <c r="D102" s="72" t="s">
        <v>275</v>
      </c>
      <c r="E102" s="72" t="s">
        <v>35</v>
      </c>
      <c r="F102" s="72" t="s">
        <v>294</v>
      </c>
      <c r="G102" s="72" t="s">
        <v>74</v>
      </c>
      <c r="H102" s="72" t="s">
        <v>117</v>
      </c>
      <c r="I102" s="72" t="s">
        <v>18</v>
      </c>
      <c r="J102" s="72" t="s">
        <v>198</v>
      </c>
      <c r="K102" s="73" t="s">
        <v>295</v>
      </c>
      <c r="L102" s="111"/>
    </row>
    <row r="103" spans="1:12">
      <c r="A103" s="112" t="str">
        <f t="shared" si="1"/>
        <v>-</v>
      </c>
      <c r="B103" s="114" t="s">
        <v>273</v>
      </c>
      <c r="C103" s="115" t="s">
        <v>296</v>
      </c>
      <c r="D103" s="115" t="s">
        <v>275</v>
      </c>
      <c r="E103" s="115" t="s">
        <v>35</v>
      </c>
      <c r="F103" s="115" t="s">
        <v>294</v>
      </c>
      <c r="G103" s="115" t="s">
        <v>74</v>
      </c>
      <c r="H103" s="115" t="s">
        <v>117</v>
      </c>
      <c r="I103" s="115" t="s">
        <v>37</v>
      </c>
      <c r="J103" s="115" t="s">
        <v>198</v>
      </c>
      <c r="K103" s="116" t="s">
        <v>156</v>
      </c>
      <c r="L103" s="111"/>
    </row>
    <row r="104" spans="1:12">
      <c r="A104" s="112">
        <f t="shared" si="1"/>
        <v>0</v>
      </c>
      <c r="B104" s="71" t="s">
        <v>297</v>
      </c>
      <c r="C104" s="72" t="s">
        <v>259</v>
      </c>
      <c r="D104" s="72" t="s">
        <v>298</v>
      </c>
      <c r="E104" s="72" t="s">
        <v>35</v>
      </c>
      <c r="F104" s="72" t="s">
        <v>16</v>
      </c>
      <c r="G104" s="72" t="s">
        <v>299</v>
      </c>
      <c r="H104" s="72" t="s">
        <v>300</v>
      </c>
      <c r="I104" s="72" t="s">
        <v>18</v>
      </c>
      <c r="J104" s="72" t="s">
        <v>198</v>
      </c>
      <c r="K104" s="73" t="s">
        <v>301</v>
      </c>
      <c r="L104" s="111"/>
    </row>
    <row r="105" spans="1:12">
      <c r="A105" s="117" t="str">
        <f t="shared" si="1"/>
        <v>-</v>
      </c>
      <c r="B105" s="118" t="s">
        <v>264</v>
      </c>
      <c r="C105" s="119" t="s">
        <v>302</v>
      </c>
      <c r="D105" s="119" t="s">
        <v>303</v>
      </c>
      <c r="E105" s="119" t="s">
        <v>35</v>
      </c>
      <c r="F105" s="119" t="s">
        <v>16</v>
      </c>
      <c r="G105" s="119" t="s">
        <v>16</v>
      </c>
      <c r="H105" s="119" t="s">
        <v>126</v>
      </c>
      <c r="I105" s="119" t="s">
        <v>37</v>
      </c>
      <c r="J105" s="119" t="s">
        <v>198</v>
      </c>
      <c r="K105" s="120" t="s">
        <v>257</v>
      </c>
      <c r="L105" s="113"/>
    </row>
  </sheetData>
  <mergeCells count="8">
    <mergeCell ref="L82:L89"/>
    <mergeCell ref="L90:L105"/>
    <mergeCell ref="L2:L29"/>
    <mergeCell ref="L30:L45"/>
    <mergeCell ref="L46:L56"/>
    <mergeCell ref="L57:L66"/>
    <mergeCell ref="L67:L75"/>
    <mergeCell ref="L76:L81"/>
  </mergeCells>
  <conditionalFormatting sqref="A2:A105">
    <cfRule type="containsText" dxfId="0" priority="1" operator="containsText" text="-">
      <formula>NOT(ISERROR(SEARCH("-",A2)))</formula>
    </cfRule>
  </conditionalFormatting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Xiao （肖乐乐）</dc:creator>
  <cp:lastModifiedBy>Lex Xiao （肖乐乐）</cp:lastModifiedBy>
  <dcterms:created xsi:type="dcterms:W3CDTF">2025-11-26T04:23:08Z</dcterms:created>
  <dcterms:modified xsi:type="dcterms:W3CDTF">2025-11-26T04:23:41Z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2025-11-26T04:23:35Z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6c015e08-0c02-4ef9-8c93-d8f8d778ea1c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