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ELF\COC\mingriAgency\assets\"/>
    </mc:Choice>
  </mc:AlternateContent>
  <xr:revisionPtr revIDLastSave="0" documentId="8_{C5D9F4BF-FAA8-4EFC-B30E-99C963DCF37A}" xr6:coauthVersionLast="47" xr6:coauthVersionMax="47" xr10:uidLastSave="{00000000-0000-0000-0000-000000000000}"/>
  <bookViews>
    <workbookView xWindow="-120" yWindow="-120" windowWidth="29040" windowHeight="15720" xr2:uid="{4D3D04E2-4168-4088-AF9A-F00AF7EAC7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8" i="1" l="1"/>
  <c r="P177" i="1"/>
  <c r="P176" i="1"/>
  <c r="P175" i="1"/>
  <c r="U174" i="1"/>
  <c r="P174" i="1"/>
  <c r="U173" i="1"/>
  <c r="P173" i="1"/>
  <c r="U172" i="1"/>
  <c r="P172" i="1"/>
  <c r="U171" i="1"/>
  <c r="P171" i="1"/>
  <c r="U170" i="1"/>
  <c r="P170" i="1"/>
  <c r="U169" i="1"/>
  <c r="U168" i="1"/>
  <c r="U167" i="1"/>
  <c r="U166" i="1"/>
  <c r="J166" i="1"/>
  <c r="U165" i="1"/>
  <c r="U164" i="1"/>
  <c r="U163" i="1"/>
  <c r="U162" i="1"/>
  <c r="U161" i="1"/>
  <c r="U160" i="1"/>
  <c r="J160" i="1"/>
  <c r="U159" i="1"/>
  <c r="J159" i="1"/>
  <c r="U158" i="1"/>
  <c r="P158" i="1"/>
  <c r="J158" i="1"/>
  <c r="U157" i="1"/>
  <c r="P157" i="1"/>
  <c r="J157" i="1"/>
  <c r="U156" i="1"/>
  <c r="P156" i="1"/>
  <c r="J156" i="1"/>
  <c r="U155" i="1"/>
  <c r="P155" i="1"/>
  <c r="J155" i="1"/>
  <c r="U154" i="1"/>
  <c r="P154" i="1"/>
  <c r="J154" i="1"/>
  <c r="U153" i="1"/>
  <c r="U152" i="1"/>
  <c r="J152" i="1"/>
  <c r="U151" i="1"/>
  <c r="J151" i="1"/>
  <c r="D151" i="1"/>
  <c r="P150" i="1"/>
  <c r="J150" i="1"/>
  <c r="P149" i="1"/>
  <c r="D149" i="1"/>
  <c r="P148" i="1"/>
  <c r="J148" i="1"/>
  <c r="U147" i="1"/>
  <c r="P147" i="1"/>
  <c r="J147" i="1"/>
  <c r="U146" i="1"/>
  <c r="P146" i="1"/>
  <c r="J146" i="1"/>
  <c r="D146" i="1"/>
  <c r="U145" i="1"/>
  <c r="P145" i="1"/>
  <c r="U144" i="1"/>
  <c r="P144" i="1"/>
  <c r="U143" i="1"/>
  <c r="P143" i="1"/>
  <c r="U142" i="1"/>
  <c r="P142" i="1"/>
  <c r="J142" i="1"/>
  <c r="U141" i="1"/>
  <c r="P141" i="1"/>
  <c r="J141" i="1"/>
  <c r="U140" i="1"/>
  <c r="J140" i="1"/>
  <c r="U139" i="1"/>
  <c r="P139" i="1"/>
  <c r="J139" i="1"/>
  <c r="D139" i="1"/>
  <c r="U138" i="1"/>
  <c r="P138" i="1"/>
  <c r="J138" i="1"/>
  <c r="D138" i="1"/>
  <c r="U137" i="1"/>
  <c r="P137" i="1"/>
  <c r="J137" i="1"/>
  <c r="D137" i="1"/>
  <c r="U136" i="1"/>
  <c r="P136" i="1"/>
  <c r="D136" i="1"/>
  <c r="U135" i="1"/>
  <c r="P135" i="1"/>
  <c r="J135" i="1"/>
  <c r="D135" i="1"/>
  <c r="U134" i="1"/>
  <c r="P134" i="1"/>
  <c r="D134" i="1"/>
  <c r="U133" i="1"/>
  <c r="P133" i="1"/>
  <c r="J133" i="1"/>
  <c r="U132" i="1"/>
  <c r="P132" i="1"/>
  <c r="J132" i="1"/>
  <c r="U131" i="1"/>
  <c r="P131" i="1"/>
  <c r="J131" i="1"/>
  <c r="U130" i="1"/>
  <c r="P130" i="1"/>
  <c r="J130" i="1"/>
  <c r="D130" i="1"/>
  <c r="U129" i="1"/>
  <c r="P129" i="1"/>
  <c r="J129" i="1"/>
  <c r="D129" i="1"/>
  <c r="P128" i="1"/>
  <c r="D128" i="1"/>
  <c r="P127" i="1"/>
  <c r="D127" i="1"/>
  <c r="U126" i="1"/>
  <c r="P126" i="1"/>
  <c r="D126" i="1"/>
  <c r="U125" i="1"/>
  <c r="P125" i="1"/>
  <c r="J125" i="1"/>
  <c r="D125" i="1"/>
  <c r="U124" i="1"/>
  <c r="P124" i="1"/>
  <c r="J124" i="1"/>
  <c r="D124" i="1"/>
  <c r="U123" i="1"/>
  <c r="P123" i="1"/>
  <c r="J123" i="1"/>
  <c r="D123" i="1"/>
  <c r="U122" i="1"/>
  <c r="P122" i="1"/>
  <c r="J122" i="1"/>
  <c r="D122" i="1"/>
  <c r="U121" i="1"/>
  <c r="P121" i="1"/>
  <c r="U120" i="1"/>
  <c r="P120" i="1"/>
  <c r="J120" i="1"/>
  <c r="D120" i="1"/>
  <c r="U119" i="1"/>
  <c r="P119" i="1"/>
  <c r="D119" i="1"/>
  <c r="P118" i="1"/>
  <c r="U117" i="1"/>
  <c r="P117" i="1"/>
  <c r="U116" i="1"/>
  <c r="P116" i="1"/>
  <c r="U115" i="1"/>
  <c r="P115" i="1"/>
  <c r="D115" i="1"/>
  <c r="U114" i="1"/>
  <c r="P114" i="1"/>
  <c r="D114" i="1"/>
  <c r="P113" i="1"/>
  <c r="D113" i="1"/>
  <c r="P112" i="1"/>
  <c r="J112" i="1"/>
  <c r="D112" i="1"/>
  <c r="P111" i="1"/>
  <c r="J111" i="1"/>
  <c r="D111" i="1"/>
  <c r="U110" i="1"/>
  <c r="P110" i="1"/>
  <c r="D110" i="1"/>
  <c r="U109" i="1"/>
  <c r="P109" i="1"/>
  <c r="D109" i="1"/>
  <c r="U108" i="1"/>
  <c r="P108" i="1"/>
  <c r="U107" i="1"/>
  <c r="D107" i="1"/>
  <c r="U106" i="1"/>
  <c r="D106" i="1"/>
  <c r="U105" i="1"/>
  <c r="D105" i="1"/>
  <c r="U104" i="1"/>
  <c r="D104" i="1"/>
  <c r="U103" i="1"/>
  <c r="D103" i="1"/>
  <c r="U102" i="1"/>
  <c r="D102" i="1"/>
  <c r="U101" i="1"/>
  <c r="D101" i="1"/>
  <c r="U100" i="1"/>
  <c r="D100" i="1"/>
  <c r="U99" i="1"/>
  <c r="D99" i="1"/>
  <c r="U98" i="1"/>
  <c r="D98" i="1"/>
  <c r="U97" i="1"/>
  <c r="D97" i="1"/>
  <c r="U96" i="1"/>
  <c r="P96" i="1"/>
  <c r="D96" i="1"/>
  <c r="U95" i="1"/>
  <c r="P95" i="1"/>
  <c r="D95" i="1"/>
  <c r="U94" i="1"/>
  <c r="P94" i="1"/>
  <c r="D94" i="1"/>
  <c r="P93" i="1"/>
  <c r="J93" i="1"/>
  <c r="D93" i="1"/>
  <c r="J92" i="1"/>
  <c r="D92" i="1"/>
  <c r="J91" i="1"/>
  <c r="U90" i="1"/>
  <c r="Z89" i="1"/>
  <c r="U89" i="1"/>
  <c r="P89" i="1"/>
  <c r="J89" i="1"/>
  <c r="Z88" i="1"/>
  <c r="U88" i="1"/>
  <c r="P88" i="1"/>
  <c r="J88" i="1"/>
  <c r="Z87" i="1"/>
  <c r="U87" i="1"/>
  <c r="P87" i="1"/>
  <c r="J87" i="1"/>
  <c r="D87" i="1"/>
  <c r="Z86" i="1"/>
  <c r="P86" i="1"/>
  <c r="D86" i="1"/>
  <c r="Z85" i="1"/>
  <c r="P85" i="1"/>
  <c r="J85" i="1"/>
  <c r="D85" i="1"/>
  <c r="P84" i="1"/>
  <c r="J84" i="1"/>
  <c r="D84" i="1"/>
  <c r="Z83" i="1"/>
  <c r="U83" i="1"/>
  <c r="P83" i="1"/>
  <c r="J83" i="1"/>
  <c r="D83" i="1"/>
  <c r="Z82" i="1"/>
  <c r="U82" i="1"/>
  <c r="P82" i="1"/>
  <c r="D82" i="1"/>
  <c r="Z81" i="1"/>
  <c r="U81" i="1"/>
  <c r="P81" i="1"/>
  <c r="J81" i="1"/>
  <c r="D81" i="1"/>
  <c r="U80" i="1"/>
  <c r="P80" i="1"/>
  <c r="J80" i="1"/>
  <c r="D80" i="1"/>
  <c r="U79" i="1"/>
  <c r="P79" i="1"/>
  <c r="J79" i="1"/>
  <c r="D79" i="1"/>
  <c r="U78" i="1"/>
  <c r="P78" i="1"/>
  <c r="J78" i="1"/>
  <c r="D78" i="1"/>
  <c r="Z77" i="1"/>
  <c r="U77" i="1"/>
  <c r="P77" i="1"/>
  <c r="J77" i="1"/>
  <c r="D77" i="1"/>
  <c r="Z76" i="1"/>
  <c r="U76" i="1"/>
  <c r="P76" i="1"/>
  <c r="J76" i="1"/>
  <c r="D76" i="1"/>
  <c r="Z75" i="1"/>
  <c r="U75" i="1"/>
  <c r="P75" i="1"/>
  <c r="J75" i="1"/>
  <c r="D75" i="1"/>
  <c r="U74" i="1"/>
  <c r="P74" i="1"/>
  <c r="J74" i="1"/>
  <c r="D74" i="1"/>
  <c r="U73" i="1"/>
  <c r="P73" i="1"/>
  <c r="J73" i="1"/>
  <c r="D73" i="1"/>
  <c r="U72" i="1"/>
  <c r="P72" i="1"/>
  <c r="D72" i="1"/>
  <c r="U71" i="1"/>
  <c r="P71" i="1"/>
  <c r="J71" i="1"/>
  <c r="D71" i="1"/>
  <c r="U70" i="1"/>
  <c r="J70" i="1"/>
  <c r="D70" i="1"/>
  <c r="U69" i="1"/>
  <c r="J69" i="1"/>
  <c r="D69" i="1"/>
  <c r="U68" i="1"/>
  <c r="J68" i="1"/>
  <c r="D68" i="1"/>
  <c r="U67" i="1"/>
  <c r="P67" i="1"/>
  <c r="U66" i="1"/>
  <c r="P66" i="1"/>
  <c r="J66" i="1"/>
  <c r="D66" i="1"/>
  <c r="U65" i="1"/>
  <c r="P65" i="1"/>
  <c r="J65" i="1"/>
  <c r="D65" i="1"/>
  <c r="U64" i="1"/>
  <c r="P64" i="1"/>
  <c r="J64" i="1"/>
  <c r="D64" i="1"/>
  <c r="P63" i="1"/>
  <c r="J63" i="1"/>
  <c r="D63" i="1"/>
  <c r="J62" i="1"/>
  <c r="D62" i="1"/>
  <c r="P61" i="1"/>
  <c r="J61" i="1"/>
  <c r="D61" i="1"/>
  <c r="U60" i="1"/>
  <c r="P60" i="1"/>
  <c r="J60" i="1"/>
  <c r="U59" i="1"/>
  <c r="P59" i="1"/>
  <c r="J59" i="1"/>
  <c r="D59" i="1"/>
  <c r="U58" i="1"/>
  <c r="P58" i="1"/>
  <c r="J58" i="1"/>
  <c r="D58" i="1"/>
  <c r="U57" i="1"/>
  <c r="P57" i="1"/>
  <c r="J57" i="1"/>
  <c r="D57" i="1"/>
  <c r="U56" i="1"/>
  <c r="P56" i="1"/>
  <c r="J56" i="1"/>
  <c r="D56" i="1"/>
  <c r="U55" i="1"/>
  <c r="P55" i="1"/>
  <c r="J55" i="1"/>
  <c r="D55" i="1"/>
</calcChain>
</file>

<file path=xl/sharedStrings.xml><?xml version="1.0" encoding="utf-8"?>
<sst xmlns="http://schemas.openxmlformats.org/spreadsheetml/2006/main" count="833" uniqueCount="677">
  <si>
    <t>现代物价参考表</t>
  </si>
  <si>
    <t>单位：美元                        这些物价不仅会因为国家、地域不同而不同，也会因为时代变化。所以按此表购物前请先与KP确认是否同意。（守秘人规则书：附录Ⅲ：物价表）</t>
  </si>
  <si>
    <t>男装</t>
  </si>
  <si>
    <t>旅行</t>
  </si>
  <si>
    <t>户外与旅行装备</t>
  </si>
  <si>
    <t>通讯</t>
  </si>
  <si>
    <t>子弹</t>
  </si>
  <si>
    <t>名称</t>
  </si>
  <si>
    <t>价格</t>
  </si>
  <si>
    <t>每盒(发)</t>
  </si>
  <si>
    <t>定制真丝正装</t>
  </si>
  <si>
    <t>1000+</t>
  </si>
  <si>
    <t>机票  每10英里</t>
  </si>
  <si>
    <t>1.4-9.8</t>
  </si>
  <si>
    <t>4 人用炊具</t>
  </si>
  <si>
    <t>本地电话业务</t>
  </si>
  <si>
    <t>.22 LR</t>
  </si>
  <si>
    <t>羊毛细条纹正装</t>
  </si>
  <si>
    <t>国际航班 每100英里</t>
  </si>
  <si>
    <t>22-28</t>
  </si>
  <si>
    <t>丙烷野炊炉</t>
  </si>
  <si>
    <t>无线电话</t>
  </si>
  <si>
    <t>.220 斯威夫特步枪弹(.220 Swift)</t>
  </si>
  <si>
    <t>人造丝混纺正装</t>
  </si>
  <si>
    <t>火车票  距离：</t>
  </si>
  <si>
    <t>便携化学厕所</t>
  </si>
  <si>
    <t>手机</t>
  </si>
  <si>
    <t>.25 自动手枪子弹（.25 ACP 等)</t>
  </si>
  <si>
    <t>宽松慢跑服</t>
  </si>
  <si>
    <t>50 英里</t>
  </si>
  <si>
    <t>6.25</t>
  </si>
  <si>
    <t>涤纶/ 棉睡袋</t>
  </si>
  <si>
    <t>.30 卡宾枪弹</t>
  </si>
  <si>
    <t>飞行员皮夹克</t>
  </si>
  <si>
    <t>100 英里</t>
  </si>
  <si>
    <t>12.5</t>
  </si>
  <si>
    <t>极地睡袋</t>
  </si>
  <si>
    <t>计算机</t>
  </si>
  <si>
    <t>.30-06 春田式步枪弹</t>
  </si>
  <si>
    <t>皮军大衣</t>
  </si>
  <si>
    <t>500 英里</t>
  </si>
  <si>
    <t>6W 荧光灯</t>
  </si>
  <si>
    <t>.357 马格南子弹</t>
  </si>
  <si>
    <t>大码斜纹衬衫</t>
  </si>
  <si>
    <t>海运（英美)  船舱：</t>
  </si>
  <si>
    <t>防抖双筒望远镜</t>
  </si>
  <si>
    <t>廉价 PC</t>
  </si>
  <si>
    <t>.38 Special</t>
  </si>
  <si>
    <t>双褶直筒裤</t>
  </si>
  <si>
    <t>头等舱</t>
  </si>
  <si>
    <t>3500+</t>
  </si>
  <si>
    <t>求生刀</t>
  </si>
  <si>
    <t>笔记本电脑</t>
  </si>
  <si>
    <t>400+</t>
  </si>
  <si>
    <t>5.56 毫米弹</t>
  </si>
  <si>
    <t>圆领棉毛衣</t>
  </si>
  <si>
    <t>标准仓</t>
  </si>
  <si>
    <t>1600+</t>
  </si>
  <si>
    <t>瑞士军刀</t>
  </si>
  <si>
    <t>高级 PC</t>
  </si>
  <si>
    <t>1500+</t>
  </si>
  <si>
    <t>9 毫米鲁格弹</t>
  </si>
  <si>
    <t>牛仔裤</t>
  </si>
  <si>
    <t>货运船费</t>
  </si>
  <si>
    <t>1400+</t>
  </si>
  <si>
    <t>开山刀</t>
  </si>
  <si>
    <t>高级笔记本</t>
  </si>
  <si>
    <t>1300+</t>
  </si>
  <si>
    <t>.44 马格南子弹</t>
  </si>
  <si>
    <t>船底休闲皮鞋</t>
  </si>
  <si>
    <t>10.5mm 干绳索</t>
  </si>
  <si>
    <t>平板电脑</t>
  </si>
  <si>
    <t>.45 自动手枪子弹(.45 ACP)</t>
  </si>
  <si>
    <t>交叉训练运动鞋</t>
  </si>
  <si>
    <t>机动车</t>
  </si>
  <si>
    <t>手持 GPS</t>
  </si>
  <si>
    <t>邮件管理软件</t>
  </si>
  <si>
    <t>10 号霰弹</t>
  </si>
  <si>
    <t>真丝领带</t>
  </si>
  <si>
    <t>登山装备（单人)</t>
  </si>
  <si>
    <t>12 号霰弹</t>
  </si>
  <si>
    <t>保暖内衣</t>
  </si>
  <si>
    <t>宝马摩托车</t>
  </si>
  <si>
    <t>旅行皮划艇（单人)</t>
  </si>
  <si>
    <t>工具</t>
  </si>
  <si>
    <t>16 号霰弹</t>
  </si>
  <si>
    <t>尼龙泳裤</t>
  </si>
  <si>
    <t>杜卡迪街霸摩托车</t>
  </si>
  <si>
    <t>高级水肺装备</t>
  </si>
  <si>
    <t>$2500+</t>
  </si>
  <si>
    <t>20 号霰弹</t>
  </si>
  <si>
    <t>有袋马甲</t>
  </si>
  <si>
    <t>劳斯莱斯幽灵轿车</t>
  </si>
  <si>
    <t>信号枪</t>
  </si>
  <si>
    <t>60 加仑空气压缩机</t>
  </si>
  <si>
    <t>高级登山鞋</t>
  </si>
  <si>
    <t>阿斯顿马丁</t>
  </si>
  <si>
    <t>五金工具箱(255 件套)</t>
  </si>
  <si>
    <t>火器、配件和近战武器</t>
  </si>
  <si>
    <t>防弹背心</t>
  </si>
  <si>
    <t>凯迪拉克 SUV</t>
  </si>
  <si>
    <t>行李</t>
  </si>
  <si>
    <t>焊接设备</t>
  </si>
  <si>
    <t>宝马 1 系</t>
  </si>
  <si>
    <t>开锁工具</t>
  </si>
  <si>
    <t>非法消音器（手枪)</t>
  </si>
  <si>
    <t>女装</t>
  </si>
  <si>
    <t>雪佛兰科尔维特折篷跑车</t>
  </si>
  <si>
    <t>高级书包（15 盎司)</t>
  </si>
  <si>
    <t>激光瞄准器</t>
  </si>
  <si>
    <t>300+</t>
  </si>
  <si>
    <t>道奇 SUV</t>
  </si>
  <si>
    <t>立式手提袋（5 磅)</t>
  </si>
  <si>
    <t>电子器材</t>
  </si>
  <si>
    <t>光学瞄准镜</t>
  </si>
  <si>
    <t>200+</t>
  </si>
  <si>
    <t>设计师定制礼服，上身一次</t>
  </si>
  <si>
    <t>500+</t>
  </si>
  <si>
    <t>丰田普锐斯</t>
  </si>
  <si>
    <t>筒状行李袋（5 磅)</t>
  </si>
  <si>
    <t>手持电击器</t>
  </si>
  <si>
    <t>50+</t>
  </si>
  <si>
    <t>高级真丝垂边礼服</t>
  </si>
  <si>
    <t>福特福克斯</t>
  </si>
  <si>
    <t>民用波段警用无线电扫描仪</t>
  </si>
  <si>
    <t>电击警棍</t>
  </si>
  <si>
    <t>腈纶西服</t>
  </si>
  <si>
    <t>住宿</t>
  </si>
  <si>
    <t>三波段步话机</t>
  </si>
  <si>
    <t>辣椒水</t>
  </si>
  <si>
    <t>编织人造丝长大衣</t>
  </si>
  <si>
    <t>帐篷和野营车</t>
  </si>
  <si>
    <t>雷达天线</t>
  </si>
  <si>
    <t>铝指虎</t>
  </si>
  <si>
    <t>涤纶无褶裤</t>
  </si>
  <si>
    <t>经济汽车旅馆</t>
  </si>
  <si>
    <t>35mm 数码单反相机</t>
  </si>
  <si>
    <t>复合弩</t>
  </si>
  <si>
    <t>600+</t>
  </si>
  <si>
    <t>水洗蓝牛仔裤</t>
  </si>
  <si>
    <t>3 房间家庭帐篷</t>
  </si>
  <si>
    <t>一般旅馆</t>
  </si>
  <si>
    <t>90+</t>
  </si>
  <si>
    <t>袖珍一次性相机</t>
  </si>
  <si>
    <t>弩箭（12 支)</t>
  </si>
  <si>
    <t>机车皮夹克</t>
  </si>
  <si>
    <t>3 人测地帐篷</t>
  </si>
  <si>
    <t>每周（带服务)</t>
  </si>
  <si>
    <t>金属探测器</t>
  </si>
  <si>
    <t>吹箭筒（带镖)</t>
  </si>
  <si>
    <t>羊毛混纺外套</t>
  </si>
  <si>
    <t>温尼贝戈 RV 房车</t>
  </si>
  <si>
    <t>$120000+</t>
  </si>
  <si>
    <t>高级旅馆</t>
  </si>
  <si>
    <t>盖革计数器</t>
  </si>
  <si>
    <t>弹药带</t>
  </si>
  <si>
    <t>纽扣高领毛衣</t>
  </si>
  <si>
    <t>发电机（1500W)</t>
  </si>
  <si>
    <t>大酒店</t>
  </si>
  <si>
    <t>运动感应报警器</t>
  </si>
  <si>
    <t>双节棍</t>
  </si>
  <si>
    <t>时装印花薄毛</t>
  </si>
  <si>
    <t>房子（年租金)</t>
  </si>
  <si>
    <t>20000+</t>
  </si>
  <si>
    <t>红外线周界报警器</t>
  </si>
  <si>
    <t>时装轻舞鞋</t>
  </si>
  <si>
    <t>医疗用品</t>
  </si>
  <si>
    <t>公寓（周租金)</t>
  </si>
  <si>
    <t>$350+</t>
  </si>
  <si>
    <t>电话变声器</t>
  </si>
  <si>
    <t>时装长靴</t>
  </si>
  <si>
    <t>摄像录音笔</t>
  </si>
  <si>
    <t>医疗箱</t>
  </si>
  <si>
    <t>娱乐</t>
  </si>
  <si>
    <t>电话窃听检测器</t>
  </si>
  <si>
    <t>挎包</t>
  </si>
  <si>
    <t>一次性防毒面罩</t>
  </si>
  <si>
    <t>窃听扫描工具</t>
  </si>
  <si>
    <t>弹性氨纶自行车运动服</t>
  </si>
  <si>
    <t>完整急救箱</t>
  </si>
  <si>
    <t>LED 电视机</t>
  </si>
  <si>
    <t>穿戴式偷拍摄像头</t>
  </si>
  <si>
    <t>烧伤急救工具</t>
  </si>
  <si>
    <t>3D 电视机</t>
  </si>
  <si>
    <t>2000+</t>
  </si>
  <si>
    <t>隐蔽录音设备</t>
  </si>
  <si>
    <t>便携氧气瓶</t>
  </si>
  <si>
    <t>电影</t>
  </si>
  <si>
    <t>窃听设备</t>
  </si>
  <si>
    <t>流行音乐会</t>
  </si>
  <si>
    <t>夜视仪</t>
  </si>
  <si>
    <t>职业美式足球赛（次座)</t>
  </si>
  <si>
    <t>芭蕾舞演出（次座)</t>
  </si>
  <si>
    <t>1920年代物价参考表</t>
  </si>
  <si>
    <t>将1920的物价大概翻个20倍就是现代物价了</t>
  </si>
  <si>
    <t>帐篷</t>
  </si>
  <si>
    <t>酒水</t>
  </si>
  <si>
    <t>枪械子弹（现代见上表）</t>
  </si>
  <si>
    <t>现代换算</t>
  </si>
  <si>
    <t>精纺毛料礼服</t>
  </si>
  <si>
    <t>炊具箱</t>
  </si>
  <si>
    <t>7平方英尺</t>
  </si>
  <si>
    <t>劣质杜松子酒（少量)</t>
  </si>
  <si>
    <t>开司米礼服</t>
  </si>
  <si>
    <t>野炊炉</t>
  </si>
  <si>
    <t>12×16英尺</t>
  </si>
  <si>
    <t>鸡尾酒</t>
  </si>
  <si>
    <t>.22 中空弹</t>
  </si>
  <si>
    <t>马海毛礼服西装</t>
  </si>
  <si>
    <t>真空杯</t>
  </si>
  <si>
    <t>16×24英尺</t>
  </si>
  <si>
    <t>红酒（杯)</t>
  </si>
  <si>
    <t>.25 凸缘式底火子弹</t>
  </si>
  <si>
    <t>灯芯绒诺福克夹克</t>
  </si>
  <si>
    <t>折叠浴缸</t>
  </si>
  <si>
    <t>防水布 24×36 英尺</t>
  </si>
  <si>
    <t>啤酒（杯)</t>
  </si>
  <si>
    <t>.30-06 春田式步枪子弹</t>
  </si>
  <si>
    <t>林场连衫裤</t>
  </si>
  <si>
    <t>防水毯(58'×96', 147×244cm)</t>
  </si>
  <si>
    <t>7×7 英尺汽车帐篷</t>
  </si>
  <si>
    <t>威士忌（杯)</t>
  </si>
  <si>
    <t>.32 温彻斯特 Special</t>
  </si>
  <si>
    <t>风衣</t>
  </si>
  <si>
    <t>9.95-35</t>
  </si>
  <si>
    <t>199-700</t>
  </si>
  <si>
    <t>行军床</t>
  </si>
  <si>
    <t>13.5 寸铁质帐篷桩(12 支)</t>
  </si>
  <si>
    <t>可口可乐(340毫升)</t>
  </si>
  <si>
    <t>.32-20 自动步枪子弹</t>
  </si>
  <si>
    <t>狗皮大衣</t>
  </si>
  <si>
    <t>电石灯（光束 300')</t>
  </si>
  <si>
    <t>车载床铺(auto bed)</t>
  </si>
  <si>
    <t>.38 短头弹</t>
  </si>
  <si>
    <t>切斯特菲尔德大衣(软领长大衣)</t>
  </si>
  <si>
    <t>罐装电石（2 磅)</t>
  </si>
  <si>
    <t>液体容器</t>
  </si>
  <si>
    <t>食材</t>
  </si>
  <si>
    <t>.38-55自动步枪子弹</t>
  </si>
  <si>
    <t>牛津式皮鞋</t>
  </si>
  <si>
    <t>探照灯</t>
  </si>
  <si>
    <t>水壶（946 毫升)</t>
  </si>
  <si>
    <t>名称  （每磅）</t>
  </si>
  <si>
    <t>.44 大威力手枪弹</t>
  </si>
  <si>
    <t>革制工作鞋</t>
  </si>
  <si>
    <t>汽油灯（内置油泵)</t>
  </si>
  <si>
    <t>保温水箱（18.9 升)</t>
  </si>
  <si>
    <t>糖渍培根</t>
  </si>
  <si>
    <t>.45 自动手枪子弹</t>
  </si>
  <si>
    <t>白色法兰绒宽松长裤</t>
  </si>
  <si>
    <t>煤油灯</t>
  </si>
  <si>
    <t>水袋（3.8 升)</t>
  </si>
  <si>
    <t>炖牛肉</t>
  </si>
  <si>
    <t>花边马裤</t>
  </si>
  <si>
    <t>带遮光装置的提灯</t>
  </si>
  <si>
    <t>水袋（7.6 升)</t>
  </si>
  <si>
    <t>博洛尼亚香肠、法兰克福香肠</t>
  </si>
  <si>
    <t>密织棉布衬衫</t>
  </si>
  <si>
    <t>0.79-1.25</t>
  </si>
  <si>
    <t>15.8-25</t>
  </si>
  <si>
    <t>手电筒</t>
  </si>
  <si>
    <t>1.35-2.25</t>
  </si>
  <si>
    <t>27-45</t>
  </si>
  <si>
    <t>水袋（18.9 升)</t>
  </si>
  <si>
    <t>布鲁克菲尔德牌黄油</t>
  </si>
  <si>
    <t>细平布礼服衬衫</t>
  </si>
  <si>
    <t>电池</t>
  </si>
  <si>
    <t>无花果酱夹馅曲奇</t>
  </si>
  <si>
    <t>运动羊毛衫</t>
  </si>
  <si>
    <t>笔型手电筒</t>
  </si>
  <si>
    <t>熏小牛火腿</t>
  </si>
  <si>
    <t>费多拉帽</t>
  </si>
  <si>
    <t>一次性信号火炬</t>
  </si>
  <si>
    <t>羊腿</t>
  </si>
  <si>
    <t>毛料高尔夫帽</t>
  </si>
  <si>
    <t>单筒望远镜</t>
  </si>
  <si>
    <t>阿司匹林（12 片)</t>
  </si>
  <si>
    <t>斯威夫特牌精炼猪油</t>
  </si>
  <si>
    <t>草帽</t>
  </si>
  <si>
    <t>野外望远镜（3 ～ 6 倍)</t>
  </si>
  <si>
    <t>6-23</t>
  </si>
  <si>
    <t>120-460</t>
  </si>
  <si>
    <t>泻盐（硫酸镁)/每磅</t>
  </si>
  <si>
    <t>柑橘</t>
  </si>
  <si>
    <t>有衬垫的革制橄榄球头盔</t>
  </si>
  <si>
    <t>双筒望远镜</t>
  </si>
  <si>
    <t>消化不良药</t>
  </si>
  <si>
    <t>加州西梅</t>
  </si>
  <si>
    <t>运动衫（恤)</t>
  </si>
  <si>
    <t>宝石指南针</t>
  </si>
  <si>
    <t>Nature's Remedy 牌轻泻剂</t>
  </si>
  <si>
    <t>大米</t>
  </si>
  <si>
    <t>海豹皮帽</t>
  </si>
  <si>
    <t>有盖指南针</t>
  </si>
  <si>
    <t>医药箱</t>
  </si>
  <si>
    <t>胡萝卜(每束)</t>
  </si>
  <si>
    <t>12 号单管霰弹枪组件</t>
  </si>
  <si>
    <t>真丝四手结领带</t>
  </si>
  <si>
    <t>可拆卸的钓竿滑轮组合</t>
  </si>
  <si>
    <t>手术镊套装</t>
  </si>
  <si>
    <t>桃子（每篮）</t>
  </si>
  <si>
    <t>12 号双管霰弹枪组件</t>
  </si>
  <si>
    <t>麻包线</t>
  </si>
  <si>
    <t>手术刀套装</t>
  </si>
  <si>
    <t>玉米（每个）</t>
  </si>
  <si>
    <t>手枪附加弹夹</t>
  </si>
  <si>
    <t>蝴蝶领结</t>
  </si>
  <si>
    <t>计步器</t>
  </si>
  <si>
    <t>皮下注射器</t>
  </si>
  <si>
    <t>生菜（每个）</t>
  </si>
  <si>
    <t>吊袜带</t>
  </si>
  <si>
    <t>重型帆布背包</t>
  </si>
  <si>
    <t>喷雾器</t>
  </si>
  <si>
    <t>鸡蛋（每12个）</t>
  </si>
  <si>
    <t>近战武器</t>
  </si>
  <si>
    <t>棉质连衫裤</t>
  </si>
  <si>
    <t>15 小时蜡烛（12 支)</t>
  </si>
  <si>
    <t>纱布绷带（5 码)</t>
  </si>
  <si>
    <t>西红柿（每罐）</t>
  </si>
  <si>
    <t>袖扣</t>
  </si>
  <si>
    <t>防水盒装火柴</t>
  </si>
  <si>
    <t>医用温度计</t>
  </si>
  <si>
    <t>进口橄榄油（1.9升）</t>
  </si>
  <si>
    <t>西洋剑</t>
  </si>
  <si>
    <t>皮带</t>
  </si>
  <si>
    <t>利刃</t>
  </si>
  <si>
    <t>医用酒精( 1.89 升)</t>
  </si>
  <si>
    <t>豌豆（2.2升）</t>
  </si>
  <si>
    <t>刺刀</t>
  </si>
  <si>
    <t>背带</t>
  </si>
  <si>
    <t>猎刀</t>
  </si>
  <si>
    <t>硬橡胶针筒</t>
  </si>
  <si>
    <t>土豆（4.4升）</t>
  </si>
  <si>
    <t>匕首</t>
  </si>
  <si>
    <t>登山靴</t>
  </si>
  <si>
    <t>双刃折刀</t>
  </si>
  <si>
    <t>便盆</t>
  </si>
  <si>
    <t>直刀剃刀</t>
  </si>
  <si>
    <t>0.65-5.25</t>
  </si>
  <si>
    <t>13-105</t>
  </si>
  <si>
    <t>钉鞋</t>
  </si>
  <si>
    <t>手斧</t>
  </si>
  <si>
    <t>轮椅</t>
  </si>
  <si>
    <t>外出用餐</t>
  </si>
  <si>
    <t>铜指虎</t>
  </si>
  <si>
    <t>泳衣</t>
  </si>
  <si>
    <t>陷阱</t>
  </si>
  <si>
    <t>枫木拐杖</t>
  </si>
  <si>
    <t>警棍(12英寸)</t>
  </si>
  <si>
    <t>帆布拖鞋</t>
  </si>
  <si>
    <t>小型动物陷阱（小型捕兽笼)</t>
  </si>
  <si>
    <t>橡皮膏</t>
  </si>
  <si>
    <t>大餐(每人)</t>
  </si>
  <si>
    <t>马鞭</t>
  </si>
  <si>
    <t>螺旋弹簧动物陷阱( 弹簧捕兽夹)</t>
  </si>
  <si>
    <t>金属足弓支撑垫</t>
  </si>
  <si>
    <t>早餐</t>
  </si>
  <si>
    <t>4 磅伐木斧</t>
  </si>
  <si>
    <t>捕熊陷阱</t>
  </si>
  <si>
    <t>皮革护踝</t>
  </si>
  <si>
    <t>午餐</t>
  </si>
  <si>
    <t>16 英尺 牛鞭</t>
  </si>
  <si>
    <t>船只</t>
  </si>
  <si>
    <t>正餐</t>
  </si>
  <si>
    <t>定制时装礼服</t>
  </si>
  <si>
    <t>1800+</t>
  </si>
  <si>
    <t>钢质划艇（4 人)</t>
  </si>
  <si>
    <t>化妆品、卫生用品</t>
  </si>
  <si>
    <t>1920 年代黑市武器</t>
  </si>
  <si>
    <t>真丝绉绸礼服</t>
  </si>
  <si>
    <t>划艇用 2 马力引擎</t>
  </si>
  <si>
    <t>塔夫绸礼服</t>
  </si>
  <si>
    <t>帆布和木质独木舟</t>
  </si>
  <si>
    <t>化妆盒</t>
  </si>
  <si>
    <t>汤普森冲锋枪</t>
  </si>
  <si>
    <t>1d6×50</t>
  </si>
  <si>
    <t>查米尤斯绉缎礼服</t>
  </si>
  <si>
    <t>男士洗漱用具（10 件)</t>
  </si>
  <si>
    <t>工具套装（20 件套)</t>
  </si>
  <si>
    <t>.30 口径机枪</t>
  </si>
  <si>
    <t>1d100×50</t>
  </si>
  <si>
    <t>花格布连衣裙</t>
  </si>
  <si>
    <t>旅行（现代见上表）</t>
  </si>
  <si>
    <t>女士洗漱用具（15 件)</t>
  </si>
  <si>
    <t>手钻（附 8 件套钻头)</t>
  </si>
  <si>
    <t>.30 口径穿甲弹 每500颗</t>
  </si>
  <si>
    <t>法式棱纹布礼服</t>
  </si>
  <si>
    <t>航空</t>
  </si>
  <si>
    <t>染发剂</t>
  </si>
  <si>
    <t>大型铁滑轮</t>
  </si>
  <si>
    <t>.50 口径水冷式机枪</t>
  </si>
  <si>
    <t>1D100×30+300</t>
  </si>
  <si>
    <t>丝质百褶裙，</t>
  </si>
  <si>
    <t>平均机票价格  每10英里</t>
  </si>
  <si>
    <t>卷发棒，小卷</t>
  </si>
  <si>
    <t>挂锁</t>
  </si>
  <si>
    <t>.50 口径穿甲弹 每500颗</t>
  </si>
  <si>
    <t>棉质女衬衫</t>
  </si>
  <si>
    <t>国际航班价格 每100英里</t>
  </si>
  <si>
    <t>发梳</t>
  </si>
  <si>
    <t>绳索（50 英尺)</t>
  </si>
  <si>
    <t>60mm 野战迫击炮</t>
  </si>
  <si>
    <t>1d6×200</t>
  </si>
  <si>
    <t>精纺毛衣</t>
  </si>
  <si>
    <t>瑟布莱斯复翼教练机</t>
  </si>
  <si>
    <t>法兰绒发网</t>
  </si>
  <si>
    <t>轻绞链（每英尺)</t>
  </si>
  <si>
    <t>60mm 榴弹</t>
  </si>
  <si>
    <t>棉绉纱便服</t>
  </si>
  <si>
    <t>Travel Air 2000 复翼机</t>
  </si>
  <si>
    <t>李施德林牌漱口水</t>
  </si>
  <si>
    <t>修表工具箱</t>
  </si>
  <si>
    <t>60mm 照明弹（亮如白昼）</t>
  </si>
  <si>
    <t>巴黎式高跟鞋</t>
  </si>
  <si>
    <t>铁路</t>
  </si>
  <si>
    <t>椰油洗发液</t>
  </si>
  <si>
    <t>撬棍</t>
  </si>
  <si>
    <t>75mm 野战火炮</t>
  </si>
  <si>
    <t>1D100×100+800</t>
  </si>
  <si>
    <t>皮制单带拖鞋</t>
  </si>
  <si>
    <t>肥皂（12 块)</t>
  </si>
  <si>
    <t>手锯</t>
  </si>
  <si>
    <t>75mm 穿甲弹或照明弹</t>
  </si>
  <si>
    <t>天鹅绒暖帽</t>
  </si>
  <si>
    <t>爽身粉</t>
  </si>
  <si>
    <t>汽油喷灯</t>
  </si>
  <si>
    <t>稀有或非法的武器可以在黑市入手。购买流程是找到卖家，谈妥价钱，钱货交易，拿货走人。交易可能会被警察干涉，卖家也可能试图打劫或杀死买家。</t>
  </si>
  <si>
    <t>软缎无檐帽</t>
  </si>
  <si>
    <t>白速得牌牙膏</t>
  </si>
  <si>
    <t>电工手套</t>
  </si>
  <si>
    <t>人造丝弹性紧身胸衣</t>
  </si>
  <si>
    <t>航海（英美)</t>
  </si>
  <si>
    <t>高空作业工具腰带和安全带</t>
  </si>
  <si>
    <t>绣花连衣长衬裙</t>
  </si>
  <si>
    <t>头等舱（单程）</t>
  </si>
  <si>
    <t>交通工具</t>
  </si>
  <si>
    <t>抓绳器</t>
  </si>
  <si>
    <t>长筒丝袜（3 双)</t>
  </si>
  <si>
    <t>头等舱（往返）</t>
  </si>
  <si>
    <t>首饰加工工具 48 件套</t>
  </si>
  <si>
    <t>丝织灯笼裤</t>
  </si>
  <si>
    <t>3.98-4.98</t>
  </si>
  <si>
    <t>79.6-99.6</t>
  </si>
  <si>
    <t>统舱</t>
  </si>
  <si>
    <t>诺顿摩托车</t>
  </si>
  <si>
    <t>砂轮机</t>
  </si>
  <si>
    <t>粗呢夹克，备全衬</t>
  </si>
  <si>
    <t>其他特殊</t>
  </si>
  <si>
    <t>别克 D-45</t>
  </si>
  <si>
    <t>工兵铲</t>
  </si>
  <si>
    <t>毛皮饰边的天鹅绒大衣</t>
  </si>
  <si>
    <t>四人热气球</t>
  </si>
  <si>
    <t>KP决定</t>
  </si>
  <si>
    <t>凯迪拉克 55</t>
  </si>
  <si>
    <t>家庭用工具箱</t>
  </si>
  <si>
    <t>棕色狐皮大衣</t>
  </si>
  <si>
    <t>有轨电车票</t>
  </si>
  <si>
    <t>雪佛兰 Capitol</t>
  </si>
  <si>
    <t>棉质束腰风衣</t>
  </si>
  <si>
    <t>公交车票</t>
  </si>
  <si>
    <t>克莱斯勒 F-58</t>
  </si>
  <si>
    <t>调查工具</t>
  </si>
  <si>
    <t>绢束腰风衣</t>
  </si>
  <si>
    <t>道奇 S/1</t>
  </si>
  <si>
    <t>真丝手袋</t>
  </si>
  <si>
    <t>房产</t>
  </si>
  <si>
    <t>杜森堡 J 型车</t>
  </si>
  <si>
    <t>手铐</t>
  </si>
  <si>
    <t>装饰发梳</t>
  </si>
  <si>
    <t>福特 T 型车</t>
  </si>
  <si>
    <t>手铐备用钥匙</t>
  </si>
  <si>
    <t>乡村大宅(13 房间, 2 马棚)</t>
  </si>
  <si>
    <t>40万+</t>
  </si>
  <si>
    <t>福特 A 型车</t>
  </si>
  <si>
    <t>警哨</t>
  </si>
  <si>
    <t>户外服饰</t>
  </si>
  <si>
    <t>大型房屋（10 房间)</t>
  </si>
  <si>
    <t>7000+</t>
  </si>
  <si>
    <t>14万+</t>
  </si>
  <si>
    <t>哈德孙 Super Six J 系列</t>
  </si>
  <si>
    <t>电话录音机</t>
  </si>
  <si>
    <t>城镇房屋(6 房间)</t>
  </si>
  <si>
    <t>4000-8000</t>
  </si>
  <si>
    <t>8万-16万</t>
  </si>
  <si>
    <t>奥兹摩比 43-AT</t>
  </si>
  <si>
    <t>钢丝录音机</t>
  </si>
  <si>
    <t>古董</t>
  </si>
  <si>
    <t>卡其牛仔布</t>
  </si>
  <si>
    <t>普通房屋（8 房间)</t>
  </si>
  <si>
    <t>2900+</t>
  </si>
  <si>
    <t>3.8万+</t>
  </si>
  <si>
    <t>帕卡德双六缸房车</t>
  </si>
  <si>
    <t>腕表</t>
  </si>
  <si>
    <t>毛呢或亚麻</t>
  </si>
  <si>
    <t>平房（4 房间)</t>
  </si>
  <si>
    <t>皮尔斯箭</t>
  </si>
  <si>
    <t>金怀表</t>
  </si>
  <si>
    <t>短衬裤</t>
  </si>
  <si>
    <t>预设房屋</t>
  </si>
  <si>
    <t>庞帝克 6-28 轿车</t>
  </si>
  <si>
    <t>自来水笔</t>
  </si>
  <si>
    <t>Clyde（6 房间)</t>
  </si>
  <si>
    <t>斯图贝克标准/ 独裁者</t>
  </si>
  <si>
    <t>自动铅笔</t>
  </si>
  <si>
    <t>灰色毛呢</t>
  </si>
  <si>
    <t>Columbine（8 房间)</t>
  </si>
  <si>
    <t>雪佛兰敞篷车</t>
  </si>
  <si>
    <t>写字板</t>
  </si>
  <si>
    <t>白色亚麻</t>
  </si>
  <si>
    <t>Honor（9 房间)</t>
  </si>
  <si>
    <t>哈德森面包车（限载 7 人)</t>
  </si>
  <si>
    <t>紧身衣</t>
  </si>
  <si>
    <t>卡其紧身裤</t>
  </si>
  <si>
    <t>Atlanta（24 房间公寓)</t>
  </si>
  <si>
    <t>斯图贝克房车（限载 5 人)</t>
  </si>
  <si>
    <t>画板</t>
  </si>
  <si>
    <t>户外靴</t>
  </si>
  <si>
    <t>1920 年二手雪佛兰 F.B. 轿车</t>
  </si>
  <si>
    <t>全套潜水装备</t>
  </si>
  <si>
    <t>1917 年二手别克</t>
  </si>
  <si>
    <t>雷明顿牌打字机</t>
  </si>
  <si>
    <t>泳帽</t>
  </si>
  <si>
    <t>名称（每晚）</t>
  </si>
  <si>
    <t>雪佛兰皮卡，1929 年</t>
  </si>
  <si>
    <t>哈里斯牌打字机</t>
  </si>
  <si>
    <t>普通旅馆</t>
  </si>
  <si>
    <t>道奇半吨小卡车，1919 年</t>
  </si>
  <si>
    <t>便携显微镜</t>
  </si>
  <si>
    <t>泵式鞋（船形高跟鞋)</t>
  </si>
  <si>
    <t>每周（包括服务）</t>
  </si>
  <si>
    <t>福特 TT 卡车，1927 年</t>
  </si>
  <si>
    <t>110倍桌上显微镜</t>
  </si>
  <si>
    <t>廉价小旅馆</t>
  </si>
  <si>
    <t>英国宾利 3 升型</t>
  </si>
  <si>
    <t>落地保险柜（3英尺高/431kg）</t>
  </si>
  <si>
    <t>德国宝马迪克西</t>
  </si>
  <si>
    <t>雨伞</t>
  </si>
  <si>
    <t>每周（包括服务)</t>
  </si>
  <si>
    <t>法国雪铁龙 C3</t>
  </si>
  <si>
    <t>土耳其水烟斗</t>
  </si>
  <si>
    <t>手提包        8 磅</t>
  </si>
  <si>
    <t>豪华宾馆</t>
  </si>
  <si>
    <t>30+</t>
  </si>
  <si>
    <t>西班牙希斯帕诺- 苏扎 阿方索</t>
  </si>
  <si>
    <t>一包香烟</t>
  </si>
  <si>
    <t>手提箱       15 磅</t>
  </si>
  <si>
    <t>YMCA（基督教青年会) 有家具</t>
  </si>
  <si>
    <t>意大利蓝旗亚 兰姆达214</t>
  </si>
  <si>
    <t>一盒雪茄</t>
  </si>
  <si>
    <t>扁行李箱     55 磅</t>
  </si>
  <si>
    <t>租房</t>
  </si>
  <si>
    <t>德国梅塞迪斯- 奔驰 SS</t>
  </si>
  <si>
    <t>全本词典</t>
  </si>
  <si>
    <t>衣橱式行李箱 95 磅</t>
  </si>
  <si>
    <t>大型房屋（每年)</t>
  </si>
  <si>
    <t>法国雷诺 AX</t>
  </si>
  <si>
    <t>十卷百科全书</t>
  </si>
  <si>
    <t>衣橱式行李箱 115 磅</t>
  </si>
  <si>
    <t>中型房屋（每月）</t>
  </si>
  <si>
    <t>英国劳斯莱斯：银魅</t>
  </si>
  <si>
    <t>湿海绵口罩</t>
  </si>
  <si>
    <t>黑漆皮旅行箱</t>
  </si>
  <si>
    <t>度假别墅（每季）</t>
  </si>
  <si>
    <t>英国劳斯莱斯：幻影Ⅰ型</t>
  </si>
  <si>
    <t>三透镜便携放大镜（7-30倍）</t>
  </si>
  <si>
    <t>公寓楼（每周）</t>
  </si>
  <si>
    <t>汽车配件</t>
  </si>
  <si>
    <t>《圣经》</t>
  </si>
  <si>
    <t>一般公寓（每周）</t>
  </si>
  <si>
    <t>轮胎</t>
  </si>
  <si>
    <t>公文包</t>
  </si>
  <si>
    <t>高级公寓（每周）</t>
  </si>
  <si>
    <t>轮胎修理工具</t>
  </si>
  <si>
    <t>地球仪</t>
  </si>
  <si>
    <t>电报：12字以内</t>
  </si>
  <si>
    <t>业务取消</t>
  </si>
  <si>
    <t>轮胎雪地防滑链</t>
  </si>
  <si>
    <t>折叠书桌</t>
  </si>
  <si>
    <t>每加一字</t>
  </si>
  <si>
    <t>家具</t>
  </si>
  <si>
    <t>千斤顶</t>
  </si>
  <si>
    <t>玻璃门书橱（200本）</t>
  </si>
  <si>
    <t>国际电报每字</t>
  </si>
  <si>
    <t>电瓶</t>
  </si>
  <si>
    <t>婴儿推车</t>
  </si>
  <si>
    <t>邮费：每28克</t>
  </si>
  <si>
    <t>法国竹片扶手椅</t>
  </si>
  <si>
    <t>散热器</t>
  </si>
  <si>
    <t>化学灭火器</t>
  </si>
  <si>
    <t>明信片</t>
  </si>
  <si>
    <t>5-20</t>
  </si>
  <si>
    <t>100-400</t>
  </si>
  <si>
    <t>摇椅</t>
  </si>
  <si>
    <t>替换汽车头灯</t>
  </si>
  <si>
    <t>修表眼镜</t>
  </si>
  <si>
    <t>台式收音机</t>
  </si>
  <si>
    <t>书桌</t>
  </si>
  <si>
    <t>便携气泵</t>
  </si>
  <si>
    <t>座机（桥式）</t>
  </si>
  <si>
    <t>东方式地毯</t>
  </si>
  <si>
    <t>20-50</t>
  </si>
  <si>
    <t>400-1000</t>
  </si>
  <si>
    <t>聚光灯（※ 雾灯)</t>
  </si>
  <si>
    <t>运动与游戏</t>
  </si>
  <si>
    <t>发报机</t>
  </si>
  <si>
    <t>胡桃木卧室组合家具</t>
  </si>
  <si>
    <t>车载行李架</t>
  </si>
  <si>
    <t>报纸</t>
  </si>
  <si>
    <t>胡桃木厨房组合家具</t>
  </si>
  <si>
    <t>陶土弹珠（150 颗)</t>
  </si>
  <si>
    <t>马海毛软垫客厅组合家具</t>
  </si>
  <si>
    <t>玻璃弹珠（25 颗)</t>
  </si>
  <si>
    <t>家用电器等</t>
  </si>
  <si>
    <t>棒球手套</t>
  </si>
  <si>
    <t>电扇</t>
  </si>
  <si>
    <t>电影票，有座</t>
  </si>
  <si>
    <t>棒球棒</t>
  </si>
  <si>
    <t>52 件套餐具</t>
  </si>
  <si>
    <t>五分电影票</t>
  </si>
  <si>
    <t>棒球接球手面罩与护具</t>
  </si>
  <si>
    <t>玻璃罩灯具</t>
  </si>
  <si>
    <t>职业棒球比赛</t>
  </si>
  <si>
    <t>棒球</t>
  </si>
  <si>
    <t>煤气灶</t>
  </si>
  <si>
    <t>音乐会（普通座)</t>
  </si>
  <si>
    <t>篮球</t>
  </si>
  <si>
    <t>冰箱</t>
  </si>
  <si>
    <t>音乐会（包厢)</t>
  </si>
  <si>
    <t>橄榄球</t>
  </si>
  <si>
    <t>吸尘器</t>
  </si>
  <si>
    <t>留声机/照相机</t>
  </si>
  <si>
    <t>轮滑鞋</t>
  </si>
  <si>
    <t>洗衣机</t>
  </si>
  <si>
    <t>柜式留声机</t>
  </si>
  <si>
    <t>网球拍带球（3 枚)</t>
  </si>
  <si>
    <t>留声机唱片</t>
  </si>
  <si>
    <t>新手高尔夫套装（带包)</t>
  </si>
  <si>
    <t>教育</t>
  </si>
  <si>
    <t>布朗尼盒式相机</t>
  </si>
  <si>
    <t>2.29-4.49</t>
  </si>
  <si>
    <t>专业钢质高尔夫球棒</t>
  </si>
  <si>
    <t>胶卷（24 张)</t>
  </si>
  <si>
    <t>高尔夫球包</t>
  </si>
  <si>
    <t>大学学费（学期)</t>
  </si>
  <si>
    <t>275-480</t>
  </si>
  <si>
    <t>5500-9600</t>
  </si>
  <si>
    <t>胶片显影工具</t>
  </si>
  <si>
    <t>拳击手套</t>
  </si>
  <si>
    <t>学生食宿（年)</t>
  </si>
  <si>
    <t>350-520</t>
  </si>
  <si>
    <t>7000-10400</t>
  </si>
  <si>
    <t>柯达可折叠一号相机</t>
  </si>
  <si>
    <t>4.25-28.00</t>
  </si>
  <si>
    <t>5 磅哑铃（一对)</t>
  </si>
  <si>
    <t>教材（学期</t>
  </si>
  <si>
    <t>伊斯曼商用相机</t>
  </si>
  <si>
    <t>竹撑竿，12 英尺</t>
  </si>
  <si>
    <t>16mm 电影胶片与放映机</t>
  </si>
  <si>
    <t>纸牌</t>
  </si>
  <si>
    <t>便携式摄像机</t>
  </si>
  <si>
    <t>通灵板（美国版碟仙)</t>
  </si>
  <si>
    <t>乐器</t>
  </si>
  <si>
    <t>多米诺骨牌</t>
  </si>
  <si>
    <t>四弦班卓琴</t>
  </si>
  <si>
    <t>象棋</t>
  </si>
  <si>
    <t>黄铜萨克斯</t>
  </si>
  <si>
    <t>自行车</t>
  </si>
  <si>
    <t>手风琴</t>
  </si>
  <si>
    <t>门球球具</t>
  </si>
  <si>
    <t>尤克里里（带配件)</t>
  </si>
  <si>
    <t>台球杆</t>
  </si>
  <si>
    <t>吉他（带配件)</t>
  </si>
  <si>
    <t>麻将桌</t>
  </si>
  <si>
    <t>小提琴（带配件)</t>
  </si>
  <si>
    <t>军号</t>
  </si>
  <si>
    <t>风琴</t>
  </si>
  <si>
    <t>自动钢琴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</si>
</sst>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"/>
  </numFmts>
  <fonts count="15">
    <font>
      <sz val="11"/>
      <color theme="1"/>
      <name val="Arial"/>
      <family val="2"/>
      <charset val="134"/>
    </font>
    <font>
      <sz val="28"/>
      <color rgb="FF000000"/>
      <name val="微软雅黑"/>
      <family val="2"/>
      <charset val="134"/>
    </font>
    <font>
      <b/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8"/>
      <color rgb="FF000000"/>
      <name val="等线"/>
      <family val="3"/>
      <charset val="134"/>
    </font>
    <font>
      <sz val="11"/>
      <name val="等线"/>
      <family val="3"/>
      <charset val="134"/>
    </font>
    <font>
      <sz val="12"/>
      <name val="等线"/>
      <family val="3"/>
      <charset val="134"/>
    </font>
    <font>
      <sz val="9"/>
      <color rgb="FF000000"/>
      <name val="等线"/>
      <family val="3"/>
      <charset val="134"/>
    </font>
    <font>
      <sz val="10"/>
      <name val="等线"/>
      <family val="3"/>
      <charset val="134"/>
    </font>
    <font>
      <sz val="8"/>
      <name val="等线"/>
      <family val="3"/>
      <charset val="134"/>
    </font>
    <font>
      <sz val="7"/>
      <color rgb="FF000000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D5FFD6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4" fillId="5" borderId="0" xfId="0" applyFont="1" applyFill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5" borderId="0" xfId="0" applyFont="1" applyFill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6" borderId="8" xfId="0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5" borderId="4" xfId="0" applyFont="1" applyFill="1" applyBorder="1" applyAlignment="1" applyProtection="1">
      <alignment horizontal="left" vertical="center"/>
      <protection locked="0"/>
    </xf>
    <xf numFmtId="0" fontId="7" fillId="5" borderId="0" xfId="0" applyFont="1" applyFill="1" applyAlignment="1" applyProtection="1">
      <alignment horizontal="left" vertical="center"/>
      <protection locked="0"/>
    </xf>
    <xf numFmtId="0" fontId="6" fillId="5" borderId="8" xfId="0" applyFont="1" applyFill="1" applyBorder="1" applyAlignment="1" applyProtection="1">
      <alignment horizontal="left" vertical="center"/>
      <protection locked="0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6" fillId="5" borderId="6" xfId="0" applyFont="1" applyFill="1" applyBorder="1" applyAlignment="1" applyProtection="1">
      <alignment horizontal="left" vertical="center"/>
      <protection locked="0"/>
    </xf>
    <xf numFmtId="0" fontId="6" fillId="5" borderId="7" xfId="0" applyFont="1" applyFill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6" fillId="5" borderId="4" xfId="0" applyFont="1" applyFill="1" applyBorder="1" applyAlignment="1" applyProtection="1">
      <alignment horizontal="left" vertical="center"/>
      <protection locked="0"/>
    </xf>
    <xf numFmtId="0" fontId="6" fillId="5" borderId="0" xfId="0" applyFont="1" applyFill="1" applyAlignment="1" applyProtection="1">
      <alignment horizontal="left" vertical="center"/>
      <protection locked="0"/>
    </xf>
    <xf numFmtId="164" fontId="6" fillId="0" borderId="5" xfId="0" applyNumberFormat="1" applyFont="1" applyBorder="1" applyAlignment="1" applyProtection="1">
      <alignment horizontal="left" vertical="center"/>
      <protection locked="0"/>
    </xf>
    <xf numFmtId="164" fontId="6" fillId="5" borderId="5" xfId="0" applyNumberFormat="1" applyFont="1" applyFill="1" applyBorder="1" applyAlignment="1" applyProtection="1">
      <alignment horizontal="left" vertical="center"/>
      <protection locked="0"/>
    </xf>
    <xf numFmtId="164" fontId="6" fillId="5" borderId="8" xfId="0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1" fillId="5" borderId="4" xfId="0" applyFont="1" applyFill="1" applyBorder="1" applyAlignment="1" applyProtection="1">
      <alignment vertical="center"/>
      <protection locked="0"/>
    </xf>
    <xf numFmtId="0" fontId="11" fillId="5" borderId="0" xfId="0" applyFont="1" applyFill="1" applyAlignment="1" applyProtection="1">
      <alignment vertical="center"/>
      <protection locked="0"/>
    </xf>
    <xf numFmtId="0" fontId="11" fillId="0" borderId="4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7" fillId="5" borderId="0" xfId="0" applyFont="1" applyFill="1" applyAlignment="1" applyProtection="1">
      <alignment vertical="center"/>
      <protection locked="0"/>
    </xf>
    <xf numFmtId="0" fontId="6" fillId="5" borderId="7" xfId="0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8" fillId="5" borderId="4" xfId="0" applyFont="1" applyFill="1" applyBorder="1" applyAlignment="1" applyProtection="1">
      <alignment horizontal="left" vertical="center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7" fillId="5" borderId="4" xfId="0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6" fillId="5" borderId="4" xfId="0" applyFont="1" applyFill="1" applyBorder="1" applyAlignment="1" applyProtection="1">
      <alignment vertical="center"/>
      <protection locked="0"/>
    </xf>
    <xf numFmtId="0" fontId="6" fillId="5" borderId="0" xfId="0" applyFont="1" applyFill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7" fillId="0" borderId="6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49" fontId="6" fillId="5" borderId="0" xfId="0" applyNumberFormat="1" applyFont="1" applyFill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8" fillId="5" borderId="4" xfId="0" applyFont="1" applyFill="1" applyBorder="1" applyAlignment="1" applyProtection="1">
      <alignment vertical="center"/>
      <protection locked="0"/>
    </xf>
    <xf numFmtId="0" fontId="8" fillId="5" borderId="0" xfId="0" applyFont="1" applyFill="1" applyAlignment="1" applyProtection="1">
      <alignment vertical="center"/>
      <protection locked="0"/>
    </xf>
    <xf numFmtId="0" fontId="8" fillId="0" borderId="4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0" fontId="6" fillId="5" borderId="6" xfId="0" applyFont="1" applyFill="1" applyBorder="1" applyAlignment="1" applyProtection="1">
      <alignment vertical="center"/>
      <protection locked="0"/>
    </xf>
    <xf numFmtId="0" fontId="6" fillId="5" borderId="7" xfId="0" applyFont="1" applyFill="1" applyBorder="1" applyAlignment="1" applyProtection="1">
      <alignment vertical="center"/>
      <protection locked="0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5" borderId="0" xfId="0" applyFont="1" applyFill="1" applyAlignment="1" applyProtection="1">
      <alignment horizontal="left" vertical="center"/>
      <protection locked="0"/>
    </xf>
    <xf numFmtId="0" fontId="7" fillId="5" borderId="5" xfId="0" applyFont="1" applyFill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11" fillId="4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 applyProtection="1">
      <alignment horizontal="left" vertical="center"/>
      <protection locked="0"/>
    </xf>
    <xf numFmtId="0" fontId="6" fillId="6" borderId="4" xfId="0" applyFont="1" applyFill="1" applyBorder="1" applyAlignment="1" applyProtection="1">
      <alignment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0" fontId="7" fillId="6" borderId="4" xfId="0" applyFont="1" applyFill="1" applyBorder="1" applyAlignment="1" applyProtection="1">
      <alignment vertical="center"/>
      <protection locked="0"/>
    </xf>
    <xf numFmtId="0" fontId="7" fillId="6" borderId="0" xfId="0" applyFont="1" applyFill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1" fillId="6" borderId="4" xfId="0" applyFont="1" applyFill="1" applyBorder="1" applyAlignment="1" applyProtection="1">
      <alignment vertical="center"/>
      <protection locked="0"/>
    </xf>
    <xf numFmtId="0" fontId="11" fillId="6" borderId="0" xfId="0" applyFont="1" applyFill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11" fillId="5" borderId="0" xfId="0" applyFont="1" applyFill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49" fontId="6" fillId="0" borderId="0" xfId="0" applyNumberFormat="1" applyFont="1" applyAlignment="1" applyProtection="1">
      <alignment horizontal="left" vertical="center"/>
      <protection locked="0"/>
    </xf>
    <xf numFmtId="0" fontId="11" fillId="5" borderId="5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4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5" borderId="4" xfId="0" applyFont="1" applyFill="1" applyBorder="1" applyAlignment="1" applyProtection="1">
      <alignment horizontal="left" vertical="top"/>
      <protection locked="0"/>
    </xf>
    <xf numFmtId="0" fontId="7" fillId="5" borderId="0" xfId="0" applyFont="1" applyFill="1" applyAlignment="1" applyProtection="1">
      <alignment horizontal="left"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6" fillId="5" borderId="4" xfId="0" applyFont="1" applyFill="1" applyBorder="1" applyAlignment="1" applyProtection="1">
      <alignment horizontal="left" vertical="top"/>
      <protection locked="0"/>
    </xf>
    <xf numFmtId="0" fontId="6" fillId="5" borderId="0" xfId="0" applyFont="1" applyFill="1" applyAlignment="1" applyProtection="1">
      <alignment horizontal="left" vertical="top"/>
      <protection locked="0"/>
    </xf>
    <xf numFmtId="0" fontId="6" fillId="0" borderId="6" xfId="0" applyFont="1" applyBorder="1" applyAlignment="1" applyProtection="1">
      <alignment horizontal="left" vertical="top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6" borderId="0" xfId="0" applyFont="1" applyFill="1" applyAlignment="1" applyProtection="1">
      <alignment horizontal="left" vertical="center"/>
      <protection locked="0"/>
    </xf>
    <xf numFmtId="0" fontId="6" fillId="6" borderId="5" xfId="0" applyFont="1" applyFill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11" fillId="5" borderId="4" xfId="0" applyFont="1" applyFill="1" applyBorder="1" applyAlignment="1" applyProtection="1">
      <alignment horizontal="left" vertical="center"/>
      <protection locked="0"/>
    </xf>
    <xf numFmtId="0" fontId="11" fillId="5" borderId="0" xfId="0" applyFont="1" applyFill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8" fillId="5" borderId="0" xfId="0" applyFont="1" applyFill="1" applyAlignment="1" applyProtection="1">
      <alignment horizontal="left" vertical="center"/>
      <protection locked="0"/>
    </xf>
    <xf numFmtId="0" fontId="7" fillId="5" borderId="6" xfId="0" applyFont="1" applyFill="1" applyBorder="1" applyAlignment="1" applyProtection="1">
      <alignment horizontal="left" vertical="center"/>
      <protection locked="0"/>
    </xf>
    <xf numFmtId="0" fontId="7" fillId="5" borderId="7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4FBC-732A-4771-A3E6-652C951E0F52}">
  <dimension ref="A1:Z178"/>
  <sheetViews>
    <sheetView tabSelected="1" topLeftCell="A28" workbookViewId="0">
      <selection activeCell="Y44" sqref="Y44"/>
    </sheetView>
  </sheetViews>
  <sheetFormatPr defaultRowHeight="14.25"/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" thickBo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1:26" ht="15" thickBot="1">
      <c r="A4" s="115" t="s">
        <v>1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 spans="1:26" ht="15.75">
      <c r="A5" s="10" t="s">
        <v>2</v>
      </c>
      <c r="B5" s="11"/>
      <c r="C5" s="11"/>
      <c r="D5" s="12"/>
      <c r="E5" s="13"/>
      <c r="F5" s="10" t="s">
        <v>3</v>
      </c>
      <c r="G5" s="11"/>
      <c r="H5" s="11"/>
      <c r="I5" s="11"/>
      <c r="J5" s="12"/>
      <c r="K5" s="13"/>
      <c r="L5" s="10" t="s">
        <v>4</v>
      </c>
      <c r="M5" s="11"/>
      <c r="N5" s="11"/>
      <c r="O5" s="12"/>
      <c r="P5" s="13"/>
      <c r="Q5" s="10" t="s">
        <v>5</v>
      </c>
      <c r="R5" s="11"/>
      <c r="S5" s="12"/>
      <c r="T5" s="14"/>
      <c r="U5" s="10" t="s">
        <v>6</v>
      </c>
      <c r="V5" s="11"/>
      <c r="W5" s="11"/>
      <c r="X5" s="11"/>
      <c r="Y5" s="11"/>
      <c r="Z5" s="12"/>
    </row>
    <row r="6" spans="1:26">
      <c r="A6" s="15" t="s">
        <v>7</v>
      </c>
      <c r="B6" s="16"/>
      <c r="C6" s="16"/>
      <c r="D6" s="17" t="s">
        <v>8</v>
      </c>
      <c r="E6" s="13"/>
      <c r="F6" s="15" t="s">
        <v>7</v>
      </c>
      <c r="G6" s="16"/>
      <c r="H6" s="16"/>
      <c r="I6" s="16"/>
      <c r="J6" s="17" t="s">
        <v>8</v>
      </c>
      <c r="K6" s="13"/>
      <c r="L6" s="15" t="s">
        <v>7</v>
      </c>
      <c r="M6" s="16"/>
      <c r="N6" s="16"/>
      <c r="O6" s="17" t="s">
        <v>8</v>
      </c>
      <c r="P6" s="13"/>
      <c r="Q6" s="15" t="s">
        <v>7</v>
      </c>
      <c r="R6" s="16"/>
      <c r="S6" s="17" t="s">
        <v>8</v>
      </c>
      <c r="T6" s="13"/>
      <c r="U6" s="15" t="s">
        <v>7</v>
      </c>
      <c r="V6" s="16"/>
      <c r="W6" s="16"/>
      <c r="X6" s="16"/>
      <c r="Y6" s="18" t="s">
        <v>9</v>
      </c>
      <c r="Z6" s="17" t="s">
        <v>8</v>
      </c>
    </row>
    <row r="7" spans="1:26">
      <c r="A7" s="30" t="s">
        <v>10</v>
      </c>
      <c r="B7" s="31"/>
      <c r="C7" s="31"/>
      <c r="D7" s="19" t="s">
        <v>11</v>
      </c>
      <c r="E7" s="13"/>
      <c r="F7" s="30" t="s">
        <v>12</v>
      </c>
      <c r="G7" s="31"/>
      <c r="H7" s="31"/>
      <c r="I7" s="31"/>
      <c r="J7" s="19" t="s">
        <v>13</v>
      </c>
      <c r="K7" s="13"/>
      <c r="L7" s="30" t="s">
        <v>14</v>
      </c>
      <c r="M7" s="31"/>
      <c r="N7" s="31"/>
      <c r="O7" s="19">
        <v>25</v>
      </c>
      <c r="P7" s="13"/>
      <c r="Q7" s="30" t="s">
        <v>15</v>
      </c>
      <c r="R7" s="31"/>
      <c r="S7" s="19">
        <v>20</v>
      </c>
      <c r="T7" s="13"/>
      <c r="U7" s="117" t="s">
        <v>16</v>
      </c>
      <c r="V7" s="118"/>
      <c r="W7" s="118"/>
      <c r="X7" s="118"/>
      <c r="Y7" s="20">
        <v>500</v>
      </c>
      <c r="Z7" s="19">
        <v>21</v>
      </c>
    </row>
    <row r="8" spans="1:26" ht="15.75">
      <c r="A8" s="44" t="s">
        <v>17</v>
      </c>
      <c r="B8" s="45"/>
      <c r="C8" s="45"/>
      <c r="D8" s="21">
        <v>350</v>
      </c>
      <c r="E8" s="13"/>
      <c r="F8" s="44" t="s">
        <v>18</v>
      </c>
      <c r="G8" s="45"/>
      <c r="H8" s="45"/>
      <c r="I8" s="45"/>
      <c r="J8" s="21" t="s">
        <v>19</v>
      </c>
      <c r="K8" s="13"/>
      <c r="L8" s="44" t="s">
        <v>20</v>
      </c>
      <c r="M8" s="45"/>
      <c r="N8" s="45"/>
      <c r="O8" s="21">
        <v>60</v>
      </c>
      <c r="P8" s="13"/>
      <c r="Q8" s="44" t="s">
        <v>21</v>
      </c>
      <c r="R8" s="45"/>
      <c r="S8" s="21">
        <v>50</v>
      </c>
      <c r="T8" s="13"/>
      <c r="U8" s="119" t="s">
        <v>22</v>
      </c>
      <c r="V8" s="120"/>
      <c r="W8" s="120"/>
      <c r="X8" s="120"/>
      <c r="Y8" s="22">
        <v>50</v>
      </c>
      <c r="Z8" s="21">
        <v>24</v>
      </c>
    </row>
    <row r="9" spans="1:26" ht="16.5" thickBot="1">
      <c r="A9" s="30" t="s">
        <v>23</v>
      </c>
      <c r="B9" s="31"/>
      <c r="C9" s="31"/>
      <c r="D9" s="19">
        <v>200</v>
      </c>
      <c r="E9" s="13"/>
      <c r="F9" s="15" t="s">
        <v>24</v>
      </c>
      <c r="G9" s="16"/>
      <c r="H9" s="16"/>
      <c r="I9" s="16"/>
      <c r="J9" s="17" t="s">
        <v>8</v>
      </c>
      <c r="K9" s="13"/>
      <c r="L9" s="30" t="s">
        <v>25</v>
      </c>
      <c r="M9" s="31"/>
      <c r="N9" s="31"/>
      <c r="O9" s="19">
        <v>110</v>
      </c>
      <c r="P9" s="13"/>
      <c r="Q9" s="50" t="s">
        <v>26</v>
      </c>
      <c r="R9" s="51"/>
      <c r="S9" s="26">
        <v>50</v>
      </c>
      <c r="T9" s="13"/>
      <c r="U9" s="121" t="s">
        <v>27</v>
      </c>
      <c r="V9" s="122"/>
      <c r="W9" s="122"/>
      <c r="X9" s="122"/>
      <c r="Y9" s="24">
        <v>50</v>
      </c>
      <c r="Z9" s="19">
        <v>15</v>
      </c>
    </row>
    <row r="10" spans="1:26" ht="16.5" thickBot="1">
      <c r="A10" s="44" t="s">
        <v>28</v>
      </c>
      <c r="B10" s="45"/>
      <c r="C10" s="45"/>
      <c r="D10" s="21">
        <v>50</v>
      </c>
      <c r="E10" s="13"/>
      <c r="F10" s="30" t="s">
        <v>29</v>
      </c>
      <c r="G10" s="31"/>
      <c r="H10" s="31"/>
      <c r="I10" s="31"/>
      <c r="J10" s="19" t="s">
        <v>30</v>
      </c>
      <c r="K10" s="13"/>
      <c r="L10" s="44" t="s">
        <v>31</v>
      </c>
      <c r="M10" s="45"/>
      <c r="N10" s="45"/>
      <c r="O10" s="21">
        <v>30</v>
      </c>
      <c r="P10" s="13"/>
      <c r="Q10" s="23"/>
      <c r="R10" s="23"/>
      <c r="S10" s="20"/>
      <c r="T10" s="13"/>
      <c r="U10" s="123" t="s">
        <v>32</v>
      </c>
      <c r="V10" s="124"/>
      <c r="W10" s="124"/>
      <c r="X10" s="124"/>
      <c r="Y10" s="25">
        <v>50</v>
      </c>
      <c r="Z10" s="21">
        <v>15</v>
      </c>
    </row>
    <row r="11" spans="1:26" ht="15.75">
      <c r="A11" s="30" t="s">
        <v>33</v>
      </c>
      <c r="B11" s="31"/>
      <c r="C11" s="31"/>
      <c r="D11" s="19">
        <v>200</v>
      </c>
      <c r="E11" s="13"/>
      <c r="F11" s="44" t="s">
        <v>34</v>
      </c>
      <c r="G11" s="45"/>
      <c r="H11" s="45"/>
      <c r="I11" s="45"/>
      <c r="J11" s="21" t="s">
        <v>35</v>
      </c>
      <c r="K11" s="13"/>
      <c r="L11" s="30" t="s">
        <v>36</v>
      </c>
      <c r="M11" s="31"/>
      <c r="N11" s="31"/>
      <c r="O11" s="19">
        <v>200</v>
      </c>
      <c r="P11" s="13"/>
      <c r="Q11" s="10" t="s">
        <v>37</v>
      </c>
      <c r="R11" s="11"/>
      <c r="S11" s="12"/>
      <c r="T11" s="13"/>
      <c r="U11" s="117" t="s">
        <v>38</v>
      </c>
      <c r="V11" s="118"/>
      <c r="W11" s="118"/>
      <c r="X11" s="118"/>
      <c r="Y11" s="24">
        <v>50</v>
      </c>
      <c r="Z11" s="19">
        <v>15</v>
      </c>
    </row>
    <row r="12" spans="1:26" ht="15.75">
      <c r="A12" s="44" t="s">
        <v>39</v>
      </c>
      <c r="B12" s="45"/>
      <c r="C12" s="45"/>
      <c r="D12" s="21">
        <v>250</v>
      </c>
      <c r="E12" s="13"/>
      <c r="F12" s="30" t="s">
        <v>40</v>
      </c>
      <c r="G12" s="31"/>
      <c r="H12" s="31"/>
      <c r="I12" s="31"/>
      <c r="J12" s="19">
        <v>62.5</v>
      </c>
      <c r="K12" s="13"/>
      <c r="L12" s="44" t="s">
        <v>41</v>
      </c>
      <c r="M12" s="45"/>
      <c r="N12" s="45"/>
      <c r="O12" s="21">
        <v>30</v>
      </c>
      <c r="P12" s="13"/>
      <c r="Q12" s="15" t="s">
        <v>7</v>
      </c>
      <c r="R12" s="16"/>
      <c r="S12" s="17" t="s">
        <v>8</v>
      </c>
      <c r="T12" s="13"/>
      <c r="U12" s="123" t="s">
        <v>42</v>
      </c>
      <c r="V12" s="124"/>
      <c r="W12" s="124"/>
      <c r="X12" s="124"/>
      <c r="Y12" s="25">
        <v>50</v>
      </c>
      <c r="Z12" s="21">
        <v>22</v>
      </c>
    </row>
    <row r="13" spans="1:26" ht="15.75">
      <c r="A13" s="30" t="s">
        <v>43</v>
      </c>
      <c r="B13" s="31"/>
      <c r="C13" s="31"/>
      <c r="D13" s="19">
        <v>35</v>
      </c>
      <c r="E13" s="13"/>
      <c r="F13" s="15" t="s">
        <v>44</v>
      </c>
      <c r="G13" s="16"/>
      <c r="H13" s="16"/>
      <c r="I13" s="16"/>
      <c r="J13" s="17" t="s">
        <v>8</v>
      </c>
      <c r="K13" s="13"/>
      <c r="L13" s="30" t="s">
        <v>45</v>
      </c>
      <c r="M13" s="31"/>
      <c r="N13" s="31"/>
      <c r="O13" s="19">
        <v>1300</v>
      </c>
      <c r="P13" s="13"/>
      <c r="Q13" s="30" t="s">
        <v>46</v>
      </c>
      <c r="R13" s="31"/>
      <c r="S13" s="19" t="s">
        <v>11</v>
      </c>
      <c r="T13" s="13"/>
      <c r="U13" s="117" t="s">
        <v>47</v>
      </c>
      <c r="V13" s="118"/>
      <c r="W13" s="118"/>
      <c r="X13" s="118"/>
      <c r="Y13" s="24">
        <v>50</v>
      </c>
      <c r="Z13" s="19">
        <v>17</v>
      </c>
    </row>
    <row r="14" spans="1:26" ht="15.75">
      <c r="A14" s="44" t="s">
        <v>48</v>
      </c>
      <c r="B14" s="45"/>
      <c r="C14" s="45"/>
      <c r="D14" s="21">
        <v>36</v>
      </c>
      <c r="E14" s="13"/>
      <c r="F14" s="30" t="s">
        <v>49</v>
      </c>
      <c r="G14" s="31"/>
      <c r="H14" s="31"/>
      <c r="I14" s="31"/>
      <c r="J14" s="19" t="s">
        <v>50</v>
      </c>
      <c r="K14" s="13"/>
      <c r="L14" s="44" t="s">
        <v>51</v>
      </c>
      <c r="M14" s="45"/>
      <c r="N14" s="45"/>
      <c r="O14" s="21">
        <v>65</v>
      </c>
      <c r="P14" s="13"/>
      <c r="Q14" s="44" t="s">
        <v>52</v>
      </c>
      <c r="R14" s="45"/>
      <c r="S14" s="21" t="s">
        <v>53</v>
      </c>
      <c r="T14" s="13"/>
      <c r="U14" s="123" t="s">
        <v>54</v>
      </c>
      <c r="V14" s="124"/>
      <c r="W14" s="124"/>
      <c r="X14" s="124"/>
      <c r="Y14" s="25">
        <v>50</v>
      </c>
      <c r="Z14" s="21">
        <v>24</v>
      </c>
    </row>
    <row r="15" spans="1:26" ht="15.75">
      <c r="A15" s="30" t="s">
        <v>55</v>
      </c>
      <c r="B15" s="31"/>
      <c r="C15" s="31"/>
      <c r="D15" s="19">
        <v>35</v>
      </c>
      <c r="E15" s="13"/>
      <c r="F15" s="44" t="s">
        <v>56</v>
      </c>
      <c r="G15" s="45"/>
      <c r="H15" s="45"/>
      <c r="I15" s="45"/>
      <c r="J15" s="21" t="s">
        <v>57</v>
      </c>
      <c r="K15" s="13"/>
      <c r="L15" s="30" t="s">
        <v>58</v>
      </c>
      <c r="M15" s="31"/>
      <c r="N15" s="31"/>
      <c r="O15" s="19">
        <v>30</v>
      </c>
      <c r="P15" s="13"/>
      <c r="Q15" s="30" t="s">
        <v>59</v>
      </c>
      <c r="R15" s="31"/>
      <c r="S15" s="19" t="s">
        <v>60</v>
      </c>
      <c r="T15" s="13"/>
      <c r="U15" s="117" t="s">
        <v>61</v>
      </c>
      <c r="V15" s="118"/>
      <c r="W15" s="118"/>
      <c r="X15" s="118"/>
      <c r="Y15" s="24">
        <v>50</v>
      </c>
      <c r="Z15" s="19">
        <v>12</v>
      </c>
    </row>
    <row r="16" spans="1:26" ht="16.5" thickBot="1">
      <c r="A16" s="44" t="s">
        <v>62</v>
      </c>
      <c r="B16" s="45"/>
      <c r="C16" s="45"/>
      <c r="D16" s="21">
        <v>40</v>
      </c>
      <c r="E16" s="13"/>
      <c r="F16" s="50" t="s">
        <v>63</v>
      </c>
      <c r="G16" s="51"/>
      <c r="H16" s="51"/>
      <c r="I16" s="51"/>
      <c r="J16" s="26" t="s">
        <v>64</v>
      </c>
      <c r="K16" s="13"/>
      <c r="L16" s="44" t="s">
        <v>65</v>
      </c>
      <c r="M16" s="45"/>
      <c r="N16" s="45"/>
      <c r="O16" s="21">
        <v>20</v>
      </c>
      <c r="P16" s="13"/>
      <c r="Q16" s="44" t="s">
        <v>66</v>
      </c>
      <c r="R16" s="45"/>
      <c r="S16" s="21" t="s">
        <v>67</v>
      </c>
      <c r="T16" s="13"/>
      <c r="U16" s="123" t="s">
        <v>68</v>
      </c>
      <c r="V16" s="124"/>
      <c r="W16" s="124"/>
      <c r="X16" s="124"/>
      <c r="Y16" s="25">
        <v>50</v>
      </c>
      <c r="Z16" s="21">
        <v>39</v>
      </c>
    </row>
    <row r="17" spans="1:26" ht="16.5" thickBot="1">
      <c r="A17" s="30" t="s">
        <v>69</v>
      </c>
      <c r="B17" s="31"/>
      <c r="C17" s="31"/>
      <c r="D17" s="19">
        <v>50</v>
      </c>
      <c r="E17" s="13"/>
      <c r="F17" s="14"/>
      <c r="G17" s="14"/>
      <c r="H17" s="14"/>
      <c r="I17" s="13"/>
      <c r="J17" s="13"/>
      <c r="K17" s="13"/>
      <c r="L17" s="30" t="s">
        <v>70</v>
      </c>
      <c r="M17" s="31"/>
      <c r="N17" s="31"/>
      <c r="O17" s="19">
        <v>250</v>
      </c>
      <c r="P17" s="13"/>
      <c r="Q17" s="30" t="s">
        <v>71</v>
      </c>
      <c r="R17" s="31"/>
      <c r="S17" s="19">
        <v>400</v>
      </c>
      <c r="T17" s="13"/>
      <c r="U17" s="117" t="s">
        <v>72</v>
      </c>
      <c r="V17" s="118"/>
      <c r="W17" s="118"/>
      <c r="X17" s="118"/>
      <c r="Y17" s="24">
        <v>100</v>
      </c>
      <c r="Z17" s="19">
        <v>23</v>
      </c>
    </row>
    <row r="18" spans="1:26" ht="16.5" thickBot="1">
      <c r="A18" s="44" t="s">
        <v>73</v>
      </c>
      <c r="B18" s="45"/>
      <c r="C18" s="45"/>
      <c r="D18" s="21">
        <v>100</v>
      </c>
      <c r="E18" s="13"/>
      <c r="F18" s="10" t="s">
        <v>74</v>
      </c>
      <c r="G18" s="11"/>
      <c r="H18" s="11"/>
      <c r="I18" s="11"/>
      <c r="J18" s="12"/>
      <c r="K18" s="13"/>
      <c r="L18" s="44" t="s">
        <v>75</v>
      </c>
      <c r="M18" s="45"/>
      <c r="N18" s="45"/>
      <c r="O18" s="21">
        <v>260</v>
      </c>
      <c r="P18" s="13"/>
      <c r="Q18" s="40" t="s">
        <v>76</v>
      </c>
      <c r="R18" s="41"/>
      <c r="S18" s="34">
        <v>200</v>
      </c>
      <c r="T18" s="13"/>
      <c r="U18" s="123" t="s">
        <v>77</v>
      </c>
      <c r="V18" s="124"/>
      <c r="W18" s="124"/>
      <c r="X18" s="124"/>
      <c r="Y18" s="25">
        <v>25</v>
      </c>
      <c r="Z18" s="21">
        <v>40</v>
      </c>
    </row>
    <row r="19" spans="1:26" ht="15" thickBot="1">
      <c r="A19" s="30" t="s">
        <v>78</v>
      </c>
      <c r="B19" s="31"/>
      <c r="C19" s="31"/>
      <c r="D19" s="19">
        <v>35</v>
      </c>
      <c r="E19" s="13"/>
      <c r="F19" s="15" t="s">
        <v>7</v>
      </c>
      <c r="G19" s="16"/>
      <c r="H19" s="16"/>
      <c r="I19" s="16"/>
      <c r="J19" s="17" t="s">
        <v>8</v>
      </c>
      <c r="K19" s="13"/>
      <c r="L19" s="30" t="s">
        <v>79</v>
      </c>
      <c r="M19" s="31"/>
      <c r="N19" s="31"/>
      <c r="O19" s="19">
        <v>2000</v>
      </c>
      <c r="P19" s="13"/>
      <c r="Q19" s="13"/>
      <c r="R19" s="13"/>
      <c r="S19" s="13"/>
      <c r="T19" s="13"/>
      <c r="U19" s="117" t="s">
        <v>80</v>
      </c>
      <c r="V19" s="118"/>
      <c r="W19" s="118"/>
      <c r="X19" s="118"/>
      <c r="Y19" s="20">
        <v>25</v>
      </c>
      <c r="Z19" s="19">
        <v>30</v>
      </c>
    </row>
    <row r="20" spans="1:26" ht="15.75">
      <c r="A20" s="44" t="s">
        <v>81</v>
      </c>
      <c r="B20" s="45"/>
      <c r="C20" s="45"/>
      <c r="D20" s="21">
        <v>15</v>
      </c>
      <c r="E20" s="13"/>
      <c r="F20" s="30" t="s">
        <v>82</v>
      </c>
      <c r="G20" s="31"/>
      <c r="H20" s="31"/>
      <c r="I20" s="31"/>
      <c r="J20" s="19">
        <v>23000</v>
      </c>
      <c r="K20" s="13"/>
      <c r="L20" s="44" t="s">
        <v>83</v>
      </c>
      <c r="M20" s="45"/>
      <c r="N20" s="45"/>
      <c r="O20" s="21">
        <v>1000</v>
      </c>
      <c r="P20" s="13"/>
      <c r="Q20" s="10" t="s">
        <v>84</v>
      </c>
      <c r="R20" s="11"/>
      <c r="S20" s="12"/>
      <c r="T20" s="13"/>
      <c r="U20" s="123" t="s">
        <v>85</v>
      </c>
      <c r="V20" s="124"/>
      <c r="W20" s="124"/>
      <c r="X20" s="124"/>
      <c r="Y20" s="27">
        <v>25</v>
      </c>
      <c r="Z20" s="21">
        <v>26</v>
      </c>
    </row>
    <row r="21" spans="1:26" ht="15" thickBot="1">
      <c r="A21" s="30" t="s">
        <v>86</v>
      </c>
      <c r="B21" s="31"/>
      <c r="C21" s="31"/>
      <c r="D21" s="19">
        <v>15</v>
      </c>
      <c r="E21" s="13"/>
      <c r="F21" s="44" t="s">
        <v>87</v>
      </c>
      <c r="G21" s="45"/>
      <c r="H21" s="45"/>
      <c r="I21" s="45"/>
      <c r="J21" s="21">
        <v>13000</v>
      </c>
      <c r="K21" s="13"/>
      <c r="L21" s="30" t="s">
        <v>88</v>
      </c>
      <c r="M21" s="31"/>
      <c r="N21" s="31"/>
      <c r="O21" s="19" t="s">
        <v>89</v>
      </c>
      <c r="P21" s="13"/>
      <c r="Q21" s="15" t="s">
        <v>7</v>
      </c>
      <c r="R21" s="16"/>
      <c r="S21" s="17" t="s">
        <v>8</v>
      </c>
      <c r="T21" s="13"/>
      <c r="U21" s="125" t="s">
        <v>90</v>
      </c>
      <c r="V21" s="126"/>
      <c r="W21" s="126"/>
      <c r="X21" s="126"/>
      <c r="Y21" s="28">
        <v>25</v>
      </c>
      <c r="Z21" s="26">
        <v>28</v>
      </c>
    </row>
    <row r="22" spans="1:26" ht="15" thickBot="1">
      <c r="A22" s="44" t="s">
        <v>91</v>
      </c>
      <c r="B22" s="45"/>
      <c r="C22" s="45"/>
      <c r="D22" s="21">
        <v>60</v>
      </c>
      <c r="E22" s="13"/>
      <c r="F22" s="30" t="s">
        <v>92</v>
      </c>
      <c r="G22" s="31"/>
      <c r="H22" s="31"/>
      <c r="I22" s="31"/>
      <c r="J22" s="19">
        <v>260000</v>
      </c>
      <c r="K22" s="13"/>
      <c r="L22" s="40" t="s">
        <v>93</v>
      </c>
      <c r="M22" s="41"/>
      <c r="N22" s="41"/>
      <c r="O22" s="29">
        <v>100</v>
      </c>
      <c r="P22" s="13"/>
      <c r="Q22" s="30" t="s">
        <v>94</v>
      </c>
      <c r="R22" s="31"/>
      <c r="S22" s="19">
        <v>600</v>
      </c>
      <c r="T22" s="13"/>
      <c r="U22" s="13"/>
      <c r="V22" s="13"/>
      <c r="W22" s="13"/>
      <c r="X22" s="13"/>
      <c r="Y22" s="13"/>
      <c r="Z22" s="13"/>
    </row>
    <row r="23" spans="1:26" ht="16.5" thickBot="1">
      <c r="A23" s="30" t="s">
        <v>95</v>
      </c>
      <c r="B23" s="31"/>
      <c r="C23" s="31"/>
      <c r="D23" s="19">
        <v>200</v>
      </c>
      <c r="E23" s="13"/>
      <c r="F23" s="44" t="s">
        <v>96</v>
      </c>
      <c r="G23" s="45"/>
      <c r="H23" s="45"/>
      <c r="I23" s="45"/>
      <c r="J23" s="21">
        <v>200500</v>
      </c>
      <c r="K23" s="13"/>
      <c r="L23" s="13"/>
      <c r="M23" s="14"/>
      <c r="N23" s="14"/>
      <c r="O23" s="14"/>
      <c r="P23" s="13"/>
      <c r="Q23" s="32" t="s">
        <v>97</v>
      </c>
      <c r="R23" s="33"/>
      <c r="S23" s="21">
        <v>500</v>
      </c>
      <c r="T23" s="13"/>
      <c r="U23" s="10" t="s">
        <v>98</v>
      </c>
      <c r="V23" s="11"/>
      <c r="W23" s="11"/>
      <c r="X23" s="11"/>
      <c r="Y23" s="11"/>
      <c r="Z23" s="12"/>
    </row>
    <row r="24" spans="1:26" ht="15" thickBot="1">
      <c r="A24" s="40" t="s">
        <v>99</v>
      </c>
      <c r="B24" s="41"/>
      <c r="C24" s="41"/>
      <c r="D24" s="34">
        <v>600</v>
      </c>
      <c r="E24" s="13"/>
      <c r="F24" s="30" t="s">
        <v>100</v>
      </c>
      <c r="G24" s="31"/>
      <c r="H24" s="31"/>
      <c r="I24" s="31"/>
      <c r="J24" s="19">
        <v>62000</v>
      </c>
      <c r="K24" s="13"/>
      <c r="L24" s="35" t="s">
        <v>101</v>
      </c>
      <c r="M24" s="36"/>
      <c r="N24" s="36"/>
      <c r="O24" s="37"/>
      <c r="P24" s="13"/>
      <c r="Q24" s="30" t="s">
        <v>102</v>
      </c>
      <c r="R24" s="31"/>
      <c r="S24" s="19">
        <v>1400</v>
      </c>
      <c r="T24" s="13"/>
      <c r="U24" s="15" t="s">
        <v>7</v>
      </c>
      <c r="V24" s="16"/>
      <c r="W24" s="16"/>
      <c r="X24" s="16"/>
      <c r="Y24" s="16" t="s">
        <v>8</v>
      </c>
      <c r="Z24" s="38"/>
    </row>
    <row r="25" spans="1:26" ht="15" thickBot="1">
      <c r="A25" s="39"/>
      <c r="B25" s="39"/>
      <c r="C25" s="20"/>
      <c r="D25" s="14"/>
      <c r="E25" s="13"/>
      <c r="F25" s="44" t="s">
        <v>103</v>
      </c>
      <c r="G25" s="45"/>
      <c r="H25" s="45"/>
      <c r="I25" s="45"/>
      <c r="J25" s="21">
        <v>38000</v>
      </c>
      <c r="K25" s="13"/>
      <c r="L25" s="15" t="s">
        <v>7</v>
      </c>
      <c r="M25" s="16"/>
      <c r="N25" s="16"/>
      <c r="O25" s="17" t="s">
        <v>8</v>
      </c>
      <c r="P25" s="13"/>
      <c r="Q25" s="40" t="s">
        <v>104</v>
      </c>
      <c r="R25" s="41"/>
      <c r="S25" s="34">
        <v>90</v>
      </c>
      <c r="T25" s="13"/>
      <c r="U25" s="44" t="s">
        <v>105</v>
      </c>
      <c r="V25" s="45"/>
      <c r="W25" s="45"/>
      <c r="X25" s="45"/>
      <c r="Y25" s="45" t="s">
        <v>11</v>
      </c>
      <c r="Z25" s="127"/>
    </row>
    <row r="26" spans="1:26" ht="16.5" thickBot="1">
      <c r="A26" s="10" t="s">
        <v>106</v>
      </c>
      <c r="B26" s="11"/>
      <c r="C26" s="11"/>
      <c r="D26" s="12"/>
      <c r="E26" s="13"/>
      <c r="F26" s="30" t="s">
        <v>107</v>
      </c>
      <c r="G26" s="31"/>
      <c r="H26" s="31"/>
      <c r="I26" s="31"/>
      <c r="J26" s="19">
        <v>54000</v>
      </c>
      <c r="K26" s="13"/>
      <c r="L26" s="30" t="s">
        <v>108</v>
      </c>
      <c r="M26" s="31"/>
      <c r="N26" s="31"/>
      <c r="O26" s="19">
        <v>60</v>
      </c>
      <c r="P26" s="13"/>
      <c r="Q26" s="13"/>
      <c r="R26" s="13"/>
      <c r="S26" s="13"/>
      <c r="T26" s="13"/>
      <c r="U26" s="30" t="s">
        <v>109</v>
      </c>
      <c r="V26" s="31"/>
      <c r="W26" s="31"/>
      <c r="X26" s="31"/>
      <c r="Y26" s="31" t="s">
        <v>110</v>
      </c>
      <c r="Z26" s="128"/>
    </row>
    <row r="27" spans="1:26" ht="15.75">
      <c r="A27" s="15" t="s">
        <v>7</v>
      </c>
      <c r="B27" s="16"/>
      <c r="C27" s="16"/>
      <c r="D27" s="17" t="s">
        <v>8</v>
      </c>
      <c r="E27" s="13"/>
      <c r="F27" s="44" t="s">
        <v>111</v>
      </c>
      <c r="G27" s="45"/>
      <c r="H27" s="45"/>
      <c r="I27" s="45"/>
      <c r="J27" s="21">
        <v>33000</v>
      </c>
      <c r="K27" s="13"/>
      <c r="L27" s="44" t="s">
        <v>112</v>
      </c>
      <c r="M27" s="45"/>
      <c r="N27" s="45"/>
      <c r="O27" s="21">
        <v>90</v>
      </c>
      <c r="P27" s="13"/>
      <c r="Q27" s="10" t="s">
        <v>113</v>
      </c>
      <c r="R27" s="11"/>
      <c r="S27" s="12"/>
      <c r="T27" s="13"/>
      <c r="U27" s="44" t="s">
        <v>114</v>
      </c>
      <c r="V27" s="45"/>
      <c r="W27" s="45"/>
      <c r="X27" s="45"/>
      <c r="Y27" s="45" t="s">
        <v>115</v>
      </c>
      <c r="Z27" s="127"/>
    </row>
    <row r="28" spans="1:26" ht="15" thickBot="1">
      <c r="A28" s="30" t="s">
        <v>116</v>
      </c>
      <c r="B28" s="31"/>
      <c r="C28" s="31"/>
      <c r="D28" s="19" t="s">
        <v>117</v>
      </c>
      <c r="E28" s="13"/>
      <c r="F28" s="30" t="s">
        <v>118</v>
      </c>
      <c r="G28" s="31"/>
      <c r="H28" s="31"/>
      <c r="I28" s="31"/>
      <c r="J28" s="19">
        <v>27000</v>
      </c>
      <c r="K28" s="13"/>
      <c r="L28" s="50" t="s">
        <v>119</v>
      </c>
      <c r="M28" s="51"/>
      <c r="N28" s="51"/>
      <c r="O28" s="26">
        <v>30</v>
      </c>
      <c r="P28" s="13"/>
      <c r="Q28" s="15" t="s">
        <v>7</v>
      </c>
      <c r="R28" s="16"/>
      <c r="S28" s="17" t="s">
        <v>8</v>
      </c>
      <c r="T28" s="13"/>
      <c r="U28" s="30" t="s">
        <v>120</v>
      </c>
      <c r="V28" s="31"/>
      <c r="W28" s="31"/>
      <c r="X28" s="31"/>
      <c r="Y28" s="129" t="s">
        <v>121</v>
      </c>
      <c r="Z28" s="130"/>
    </row>
    <row r="29" spans="1:26" ht="15" thickBot="1">
      <c r="A29" s="44" t="s">
        <v>122</v>
      </c>
      <c r="B29" s="45"/>
      <c r="C29" s="45"/>
      <c r="D29" s="21">
        <v>400</v>
      </c>
      <c r="E29" s="13"/>
      <c r="F29" s="40" t="s">
        <v>123</v>
      </c>
      <c r="G29" s="41"/>
      <c r="H29" s="41"/>
      <c r="I29" s="41"/>
      <c r="J29" s="34">
        <v>16500</v>
      </c>
      <c r="K29" s="13"/>
      <c r="L29" s="13"/>
      <c r="M29" s="13"/>
      <c r="N29" s="13"/>
      <c r="O29" s="13"/>
      <c r="P29" s="13"/>
      <c r="Q29" s="42" t="s">
        <v>124</v>
      </c>
      <c r="R29" s="43"/>
      <c r="S29" s="19">
        <v>90</v>
      </c>
      <c r="T29" s="13"/>
      <c r="U29" s="44" t="s">
        <v>125</v>
      </c>
      <c r="V29" s="45"/>
      <c r="W29" s="45"/>
      <c r="X29" s="45"/>
      <c r="Y29" s="45">
        <v>65</v>
      </c>
      <c r="Z29" s="127"/>
    </row>
    <row r="30" spans="1:26" ht="15" thickBot="1">
      <c r="A30" s="30" t="s">
        <v>126</v>
      </c>
      <c r="B30" s="31"/>
      <c r="C30" s="31"/>
      <c r="D30" s="19">
        <v>150</v>
      </c>
      <c r="E30" s="13"/>
      <c r="F30" s="13"/>
      <c r="G30" s="13"/>
      <c r="H30" s="13"/>
      <c r="I30" s="13"/>
      <c r="J30" s="13"/>
      <c r="K30" s="13"/>
      <c r="L30" s="35" t="s">
        <v>127</v>
      </c>
      <c r="M30" s="36"/>
      <c r="N30" s="36"/>
      <c r="O30" s="37"/>
      <c r="P30" s="13"/>
      <c r="Q30" s="44" t="s">
        <v>128</v>
      </c>
      <c r="R30" s="45"/>
      <c r="S30" s="21">
        <v>35</v>
      </c>
      <c r="T30" s="13"/>
      <c r="U30" s="30" t="s">
        <v>129</v>
      </c>
      <c r="V30" s="31"/>
      <c r="W30" s="31"/>
      <c r="X30" s="31"/>
      <c r="Y30" s="31">
        <v>16</v>
      </c>
      <c r="Z30" s="128"/>
    </row>
    <row r="31" spans="1:26" ht="15.75">
      <c r="A31" s="44" t="s">
        <v>130</v>
      </c>
      <c r="B31" s="45"/>
      <c r="C31" s="45"/>
      <c r="D31" s="21">
        <v>90</v>
      </c>
      <c r="E31" s="13"/>
      <c r="F31" s="10" t="s">
        <v>131</v>
      </c>
      <c r="G31" s="11"/>
      <c r="H31" s="11"/>
      <c r="I31" s="11"/>
      <c r="J31" s="12"/>
      <c r="K31" s="13"/>
      <c r="L31" s="15" t="s">
        <v>7</v>
      </c>
      <c r="M31" s="16"/>
      <c r="N31" s="16"/>
      <c r="O31" s="17" t="s">
        <v>8</v>
      </c>
      <c r="P31" s="13"/>
      <c r="Q31" s="30" t="s">
        <v>132</v>
      </c>
      <c r="R31" s="31"/>
      <c r="S31" s="19">
        <v>40</v>
      </c>
      <c r="T31" s="13"/>
      <c r="U31" s="44" t="s">
        <v>133</v>
      </c>
      <c r="V31" s="45"/>
      <c r="W31" s="45"/>
      <c r="X31" s="45"/>
      <c r="Y31" s="45">
        <v>20</v>
      </c>
      <c r="Z31" s="127"/>
    </row>
    <row r="32" spans="1:26">
      <c r="A32" s="30" t="s">
        <v>134</v>
      </c>
      <c r="B32" s="31"/>
      <c r="C32" s="31"/>
      <c r="D32" s="19">
        <v>25</v>
      </c>
      <c r="E32" s="13"/>
      <c r="F32" s="15" t="s">
        <v>7</v>
      </c>
      <c r="G32" s="16"/>
      <c r="H32" s="16"/>
      <c r="I32" s="16"/>
      <c r="J32" s="17" t="s">
        <v>8</v>
      </c>
      <c r="K32" s="13"/>
      <c r="L32" s="30" t="s">
        <v>135</v>
      </c>
      <c r="M32" s="31"/>
      <c r="N32" s="31"/>
      <c r="O32" s="19">
        <v>40</v>
      </c>
      <c r="P32" s="13"/>
      <c r="Q32" s="44" t="s">
        <v>136</v>
      </c>
      <c r="R32" s="45"/>
      <c r="S32" s="21">
        <v>450</v>
      </c>
      <c r="T32" s="13"/>
      <c r="U32" s="30" t="s">
        <v>137</v>
      </c>
      <c r="V32" s="31"/>
      <c r="W32" s="31"/>
      <c r="X32" s="31"/>
      <c r="Y32" s="31" t="s">
        <v>138</v>
      </c>
      <c r="Z32" s="128"/>
    </row>
    <row r="33" spans="1:26">
      <c r="A33" s="44" t="s">
        <v>139</v>
      </c>
      <c r="B33" s="45"/>
      <c r="C33" s="45"/>
      <c r="D33" s="21">
        <v>35</v>
      </c>
      <c r="E33" s="13"/>
      <c r="F33" s="30" t="s">
        <v>140</v>
      </c>
      <c r="G33" s="31"/>
      <c r="H33" s="31"/>
      <c r="I33" s="31"/>
      <c r="J33" s="46">
        <v>70</v>
      </c>
      <c r="K33" s="13"/>
      <c r="L33" s="44" t="s">
        <v>141</v>
      </c>
      <c r="M33" s="45"/>
      <c r="N33" s="45"/>
      <c r="O33" s="21" t="s">
        <v>142</v>
      </c>
      <c r="P33" s="13"/>
      <c r="Q33" s="30" t="s">
        <v>143</v>
      </c>
      <c r="R33" s="31"/>
      <c r="S33" s="19">
        <v>10</v>
      </c>
      <c r="T33" s="13"/>
      <c r="U33" s="44" t="s">
        <v>144</v>
      </c>
      <c r="V33" s="45"/>
      <c r="W33" s="45"/>
      <c r="X33" s="45"/>
      <c r="Y33" s="45">
        <v>38</v>
      </c>
      <c r="Z33" s="127"/>
    </row>
    <row r="34" spans="1:26">
      <c r="A34" s="30" t="s">
        <v>145</v>
      </c>
      <c r="B34" s="31"/>
      <c r="C34" s="31"/>
      <c r="D34" s="19">
        <v>260</v>
      </c>
      <c r="E34" s="13"/>
      <c r="F34" s="44" t="s">
        <v>146</v>
      </c>
      <c r="G34" s="45"/>
      <c r="H34" s="45"/>
      <c r="I34" s="45"/>
      <c r="J34" s="47">
        <v>300</v>
      </c>
      <c r="K34" s="13"/>
      <c r="L34" s="30" t="s">
        <v>147</v>
      </c>
      <c r="M34" s="31"/>
      <c r="N34" s="31"/>
      <c r="O34" s="19">
        <v>500</v>
      </c>
      <c r="P34" s="13"/>
      <c r="Q34" s="44" t="s">
        <v>148</v>
      </c>
      <c r="R34" s="45"/>
      <c r="S34" s="21">
        <v>240</v>
      </c>
      <c r="T34" s="13"/>
      <c r="U34" s="30" t="s">
        <v>149</v>
      </c>
      <c r="V34" s="31"/>
      <c r="W34" s="31"/>
      <c r="X34" s="31"/>
      <c r="Y34" s="31">
        <v>35</v>
      </c>
      <c r="Z34" s="128"/>
    </row>
    <row r="35" spans="1:26">
      <c r="A35" s="44" t="s">
        <v>150</v>
      </c>
      <c r="B35" s="45"/>
      <c r="C35" s="45"/>
      <c r="D35" s="21">
        <v>190</v>
      </c>
      <c r="E35" s="13"/>
      <c r="F35" s="30" t="s">
        <v>151</v>
      </c>
      <c r="G35" s="31"/>
      <c r="H35" s="31"/>
      <c r="I35" s="31"/>
      <c r="J35" s="46" t="s">
        <v>152</v>
      </c>
      <c r="K35" s="13"/>
      <c r="L35" s="44" t="s">
        <v>153</v>
      </c>
      <c r="M35" s="45"/>
      <c r="N35" s="45"/>
      <c r="O35" s="21" t="s">
        <v>115</v>
      </c>
      <c r="P35" s="13"/>
      <c r="Q35" s="30" t="s">
        <v>154</v>
      </c>
      <c r="R35" s="31"/>
      <c r="S35" s="19">
        <v>400</v>
      </c>
      <c r="T35" s="13"/>
      <c r="U35" s="44" t="s">
        <v>155</v>
      </c>
      <c r="V35" s="45"/>
      <c r="W35" s="45"/>
      <c r="X35" s="45"/>
      <c r="Y35" s="45">
        <v>60</v>
      </c>
      <c r="Z35" s="127"/>
    </row>
    <row r="36" spans="1:26" ht="15" thickBot="1">
      <c r="A36" s="30" t="s">
        <v>156</v>
      </c>
      <c r="B36" s="31"/>
      <c r="C36" s="31"/>
      <c r="D36" s="19">
        <v>35</v>
      </c>
      <c r="E36" s="13"/>
      <c r="F36" s="40" t="s">
        <v>157</v>
      </c>
      <c r="G36" s="41"/>
      <c r="H36" s="41"/>
      <c r="I36" s="41"/>
      <c r="J36" s="48">
        <v>200</v>
      </c>
      <c r="K36" s="13"/>
      <c r="L36" s="30" t="s">
        <v>158</v>
      </c>
      <c r="M36" s="31"/>
      <c r="N36" s="31"/>
      <c r="O36" s="19" t="s">
        <v>138</v>
      </c>
      <c r="P36" s="13"/>
      <c r="Q36" s="44" t="s">
        <v>159</v>
      </c>
      <c r="R36" s="45"/>
      <c r="S36" s="21">
        <v>200</v>
      </c>
      <c r="T36" s="13"/>
      <c r="U36" s="50" t="s">
        <v>160</v>
      </c>
      <c r="V36" s="51"/>
      <c r="W36" s="51"/>
      <c r="X36" s="51"/>
      <c r="Y36" s="51">
        <v>25</v>
      </c>
      <c r="Z36" s="131"/>
    </row>
    <row r="37" spans="1:26" ht="15" thickBot="1">
      <c r="A37" s="44" t="s">
        <v>161</v>
      </c>
      <c r="B37" s="45"/>
      <c r="C37" s="45"/>
      <c r="D37" s="21">
        <v>50</v>
      </c>
      <c r="E37" s="13"/>
      <c r="F37" s="13"/>
      <c r="G37" s="13"/>
      <c r="H37" s="13"/>
      <c r="I37" s="13"/>
      <c r="J37" s="13"/>
      <c r="K37" s="13"/>
      <c r="L37" s="44" t="s">
        <v>162</v>
      </c>
      <c r="M37" s="45"/>
      <c r="N37" s="45"/>
      <c r="O37" s="21" t="s">
        <v>163</v>
      </c>
      <c r="P37" s="13"/>
      <c r="Q37" s="30" t="s">
        <v>164</v>
      </c>
      <c r="R37" s="31"/>
      <c r="S37" s="19">
        <v>260</v>
      </c>
      <c r="T37" s="13"/>
      <c r="U37" s="49"/>
      <c r="V37" s="49"/>
      <c r="W37" s="49"/>
      <c r="X37" s="49"/>
      <c r="Y37" s="49"/>
      <c r="Z37" s="49"/>
    </row>
    <row r="38" spans="1:26" ht="16.5" thickBot="1">
      <c r="A38" s="30" t="s">
        <v>165</v>
      </c>
      <c r="B38" s="31"/>
      <c r="C38" s="31"/>
      <c r="D38" s="19">
        <v>100</v>
      </c>
      <c r="E38" s="13"/>
      <c r="F38" s="10" t="s">
        <v>166</v>
      </c>
      <c r="G38" s="11"/>
      <c r="H38" s="11"/>
      <c r="I38" s="11"/>
      <c r="J38" s="12"/>
      <c r="K38" s="13"/>
      <c r="L38" s="50" t="s">
        <v>167</v>
      </c>
      <c r="M38" s="51"/>
      <c r="N38" s="51"/>
      <c r="O38" s="26" t="s">
        <v>168</v>
      </c>
      <c r="P38" s="13"/>
      <c r="Q38" s="44" t="s">
        <v>169</v>
      </c>
      <c r="R38" s="45"/>
      <c r="S38" s="21">
        <v>60</v>
      </c>
      <c r="T38" s="13"/>
      <c r="U38" s="49"/>
      <c r="V38" s="49"/>
      <c r="W38" s="49"/>
      <c r="X38" s="49"/>
      <c r="Y38" s="49"/>
      <c r="Z38" s="49"/>
    </row>
    <row r="39" spans="1:26" ht="15" thickBot="1">
      <c r="A39" s="44" t="s">
        <v>170</v>
      </c>
      <c r="B39" s="45"/>
      <c r="C39" s="45"/>
      <c r="D39" s="21">
        <v>160</v>
      </c>
      <c r="E39" s="13"/>
      <c r="F39" s="15" t="s">
        <v>7</v>
      </c>
      <c r="G39" s="16"/>
      <c r="H39" s="16"/>
      <c r="I39" s="16"/>
      <c r="J39" s="17" t="s">
        <v>8</v>
      </c>
      <c r="K39" s="13"/>
      <c r="L39" s="13"/>
      <c r="M39" s="13"/>
      <c r="N39" s="13"/>
      <c r="O39" s="13"/>
      <c r="P39" s="13"/>
      <c r="Q39" s="30" t="s">
        <v>171</v>
      </c>
      <c r="R39" s="31"/>
      <c r="S39" s="19">
        <v>250</v>
      </c>
      <c r="T39" s="13"/>
      <c r="U39" s="49"/>
      <c r="V39" s="49"/>
      <c r="W39" s="49"/>
      <c r="X39" s="49"/>
      <c r="Y39" s="49"/>
      <c r="Z39" s="49"/>
    </row>
    <row r="40" spans="1:26" ht="15.75">
      <c r="A40" s="30" t="s">
        <v>95</v>
      </c>
      <c r="B40" s="31"/>
      <c r="C40" s="31"/>
      <c r="D40" s="19">
        <v>200</v>
      </c>
      <c r="E40" s="13"/>
      <c r="F40" s="44" t="s">
        <v>172</v>
      </c>
      <c r="G40" s="45"/>
      <c r="H40" s="45"/>
      <c r="I40" s="45"/>
      <c r="J40" s="47">
        <v>100</v>
      </c>
      <c r="K40" s="13"/>
      <c r="L40" s="10" t="s">
        <v>173</v>
      </c>
      <c r="M40" s="11"/>
      <c r="N40" s="11"/>
      <c r="O40" s="12"/>
      <c r="P40" s="13"/>
      <c r="Q40" s="44" t="s">
        <v>174</v>
      </c>
      <c r="R40" s="45"/>
      <c r="S40" s="21">
        <v>400</v>
      </c>
      <c r="T40" s="13"/>
      <c r="U40" s="49"/>
      <c r="V40" s="49"/>
      <c r="W40" s="49"/>
      <c r="X40" s="49"/>
      <c r="Y40" s="49"/>
      <c r="Z40" s="49"/>
    </row>
    <row r="41" spans="1:26">
      <c r="A41" s="44" t="s">
        <v>175</v>
      </c>
      <c r="B41" s="45"/>
      <c r="C41" s="45"/>
      <c r="D41" s="21">
        <v>350</v>
      </c>
      <c r="E41" s="13"/>
      <c r="F41" s="30" t="s">
        <v>176</v>
      </c>
      <c r="G41" s="31"/>
      <c r="H41" s="31"/>
      <c r="I41" s="31"/>
      <c r="J41" s="46">
        <v>30</v>
      </c>
      <c r="K41" s="13"/>
      <c r="L41" s="15" t="s">
        <v>7</v>
      </c>
      <c r="M41" s="16"/>
      <c r="N41" s="16"/>
      <c r="O41" s="17" t="s">
        <v>8</v>
      </c>
      <c r="P41" s="14"/>
      <c r="Q41" s="30" t="s">
        <v>177</v>
      </c>
      <c r="R41" s="31"/>
      <c r="S41" s="19">
        <v>900</v>
      </c>
      <c r="T41" s="13"/>
      <c r="U41" s="49"/>
      <c r="V41" s="49"/>
      <c r="W41" s="49"/>
      <c r="X41" s="49"/>
      <c r="Y41" s="49"/>
      <c r="Z41" s="49"/>
    </row>
    <row r="42" spans="1:26">
      <c r="A42" s="30" t="s">
        <v>178</v>
      </c>
      <c r="B42" s="31"/>
      <c r="C42" s="31"/>
      <c r="D42" s="19">
        <v>20</v>
      </c>
      <c r="E42" s="13"/>
      <c r="F42" s="44" t="s">
        <v>179</v>
      </c>
      <c r="G42" s="45"/>
      <c r="H42" s="45"/>
      <c r="I42" s="45"/>
      <c r="J42" s="47">
        <v>60</v>
      </c>
      <c r="K42" s="13"/>
      <c r="L42" s="30" t="s">
        <v>180</v>
      </c>
      <c r="M42" s="31"/>
      <c r="N42" s="31"/>
      <c r="O42" s="19" t="s">
        <v>11</v>
      </c>
      <c r="P42" s="14"/>
      <c r="Q42" s="44" t="s">
        <v>181</v>
      </c>
      <c r="R42" s="45"/>
      <c r="S42" s="21">
        <v>200</v>
      </c>
      <c r="T42" s="14"/>
      <c r="U42" s="49"/>
      <c r="V42" s="49"/>
      <c r="W42" s="49"/>
      <c r="X42" s="49"/>
      <c r="Y42" s="49"/>
      <c r="Z42" s="49"/>
    </row>
    <row r="43" spans="1:26">
      <c r="A43" s="44" t="s">
        <v>91</v>
      </c>
      <c r="B43" s="45"/>
      <c r="C43" s="45"/>
      <c r="D43" s="21">
        <v>60</v>
      </c>
      <c r="E43" s="13"/>
      <c r="F43" s="30" t="s">
        <v>182</v>
      </c>
      <c r="G43" s="31"/>
      <c r="H43" s="31"/>
      <c r="I43" s="31"/>
      <c r="J43" s="46">
        <v>160</v>
      </c>
      <c r="K43" s="14"/>
      <c r="L43" s="44" t="s">
        <v>183</v>
      </c>
      <c r="M43" s="45"/>
      <c r="N43" s="45"/>
      <c r="O43" s="21" t="s">
        <v>184</v>
      </c>
      <c r="P43" s="14"/>
      <c r="Q43" s="30" t="s">
        <v>185</v>
      </c>
      <c r="R43" s="31"/>
      <c r="S43" s="19" t="s">
        <v>110</v>
      </c>
      <c r="T43" s="13"/>
      <c r="U43" s="49"/>
      <c r="V43" s="49"/>
      <c r="W43" s="49"/>
      <c r="X43" s="49"/>
      <c r="Y43" s="49"/>
      <c r="Z43" s="49"/>
    </row>
    <row r="44" spans="1:26" ht="15" thickBot="1">
      <c r="A44" s="50" t="s">
        <v>99</v>
      </c>
      <c r="B44" s="51"/>
      <c r="C44" s="51"/>
      <c r="D44" s="26" t="s">
        <v>138</v>
      </c>
      <c r="E44" s="13"/>
      <c r="F44" s="40" t="s">
        <v>186</v>
      </c>
      <c r="G44" s="41"/>
      <c r="H44" s="41"/>
      <c r="I44" s="41"/>
      <c r="J44" s="48">
        <v>70</v>
      </c>
      <c r="K44" s="13"/>
      <c r="L44" s="30" t="s">
        <v>187</v>
      </c>
      <c r="M44" s="31"/>
      <c r="N44" s="31"/>
      <c r="O44" s="19">
        <v>10</v>
      </c>
      <c r="P44" s="14"/>
      <c r="Q44" s="44" t="s">
        <v>188</v>
      </c>
      <c r="R44" s="45"/>
      <c r="S44" s="21" t="s">
        <v>115</v>
      </c>
      <c r="T44" s="13"/>
      <c r="U44" s="49"/>
      <c r="V44" s="49"/>
      <c r="W44" s="49"/>
      <c r="X44" s="49"/>
      <c r="Y44" s="49"/>
      <c r="Z44" s="49"/>
    </row>
    <row r="45" spans="1:26" ht="15" thickBot="1">
      <c r="A45" s="49"/>
      <c r="B45" s="49"/>
      <c r="C45" s="49"/>
      <c r="D45" s="14"/>
      <c r="E45" s="13"/>
      <c r="F45" s="13"/>
      <c r="G45" s="13"/>
      <c r="H45" s="13"/>
      <c r="I45" s="13"/>
      <c r="J45" s="13"/>
      <c r="K45" s="13"/>
      <c r="L45" s="44" t="s">
        <v>189</v>
      </c>
      <c r="M45" s="45"/>
      <c r="N45" s="45"/>
      <c r="O45" s="21" t="s">
        <v>121</v>
      </c>
      <c r="P45" s="14"/>
      <c r="Q45" s="50" t="s">
        <v>190</v>
      </c>
      <c r="R45" s="51"/>
      <c r="S45" s="26" t="s">
        <v>138</v>
      </c>
      <c r="T45" s="13"/>
      <c r="U45" s="52"/>
      <c r="V45" s="52"/>
      <c r="W45" s="52"/>
      <c r="X45" s="13"/>
      <c r="Y45" s="13"/>
      <c r="Z45" s="13"/>
    </row>
    <row r="46" spans="1:26">
      <c r="A46" s="14"/>
      <c r="B46" s="14"/>
      <c r="C46" s="14"/>
      <c r="D46" s="14"/>
      <c r="E46" s="13"/>
      <c r="F46" s="13"/>
      <c r="G46" s="13"/>
      <c r="H46" s="14"/>
      <c r="I46" s="13"/>
      <c r="J46" s="13"/>
      <c r="K46" s="13"/>
      <c r="L46" s="30" t="s">
        <v>191</v>
      </c>
      <c r="M46" s="31"/>
      <c r="N46" s="31"/>
      <c r="O46" s="19">
        <v>55</v>
      </c>
      <c r="P46" s="14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" thickBot="1">
      <c r="A47" s="14"/>
      <c r="B47" s="14"/>
      <c r="C47" s="14"/>
      <c r="D47" s="14"/>
      <c r="E47" s="13"/>
      <c r="F47" s="13"/>
      <c r="G47" s="13"/>
      <c r="H47" s="14"/>
      <c r="I47" s="13"/>
      <c r="J47" s="13"/>
      <c r="K47" s="13"/>
      <c r="L47" s="40" t="s">
        <v>192</v>
      </c>
      <c r="M47" s="41"/>
      <c r="N47" s="41"/>
      <c r="O47" s="34">
        <v>65</v>
      </c>
      <c r="P47" s="14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" thickBot="1">
      <c r="A48" s="53"/>
      <c r="B48" s="53"/>
      <c r="C48" s="53"/>
      <c r="D48" s="53"/>
      <c r="E48" s="54"/>
      <c r="F48" s="54"/>
      <c r="G48" s="54"/>
      <c r="H48" s="53"/>
      <c r="I48" s="54"/>
      <c r="J48" s="54"/>
      <c r="K48" s="54"/>
      <c r="L48" s="54"/>
      <c r="M48" s="54"/>
      <c r="N48" s="54"/>
      <c r="O48" s="54"/>
      <c r="P48" s="53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>
      <c r="A49" s="1" t="s">
        <v>193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spans="1:26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5" thickBot="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spans="1:26" ht="15" thickBot="1">
      <c r="A52" s="55" t="s">
        <v>194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>
      <c r="A53" s="10" t="s">
        <v>2</v>
      </c>
      <c r="B53" s="11"/>
      <c r="C53" s="11"/>
      <c r="D53" s="12"/>
      <c r="E53" s="54"/>
      <c r="F53" s="10" t="s">
        <v>4</v>
      </c>
      <c r="G53" s="11"/>
      <c r="H53" s="11"/>
      <c r="I53" s="11"/>
      <c r="J53" s="12"/>
      <c r="K53" s="56"/>
      <c r="L53" s="10" t="s">
        <v>195</v>
      </c>
      <c r="M53" s="11"/>
      <c r="N53" s="11"/>
      <c r="O53" s="11"/>
      <c r="P53" s="12"/>
      <c r="Q53" s="57"/>
      <c r="R53" s="10" t="s">
        <v>196</v>
      </c>
      <c r="S53" s="11"/>
      <c r="T53" s="11"/>
      <c r="U53" s="12"/>
      <c r="V53" s="58"/>
      <c r="W53" s="10" t="s">
        <v>197</v>
      </c>
      <c r="X53" s="11"/>
      <c r="Y53" s="11"/>
      <c r="Z53" s="12"/>
    </row>
    <row r="54" spans="1:26">
      <c r="A54" s="15" t="s">
        <v>7</v>
      </c>
      <c r="B54" s="16"/>
      <c r="C54" s="18" t="s">
        <v>8</v>
      </c>
      <c r="D54" s="17" t="s">
        <v>198</v>
      </c>
      <c r="E54" s="54"/>
      <c r="F54" s="15" t="s">
        <v>7</v>
      </c>
      <c r="G54" s="16"/>
      <c r="H54" s="16"/>
      <c r="I54" s="18" t="s">
        <v>8</v>
      </c>
      <c r="J54" s="17" t="s">
        <v>198</v>
      </c>
      <c r="K54" s="56"/>
      <c r="L54" s="15" t="s">
        <v>7</v>
      </c>
      <c r="M54" s="16"/>
      <c r="N54" s="16"/>
      <c r="O54" s="18" t="s">
        <v>8</v>
      </c>
      <c r="P54" s="59" t="s">
        <v>198</v>
      </c>
      <c r="Q54" s="60"/>
      <c r="R54" s="15" t="s">
        <v>7</v>
      </c>
      <c r="S54" s="16"/>
      <c r="T54" s="18" t="s">
        <v>8</v>
      </c>
      <c r="U54" s="59" t="s">
        <v>198</v>
      </c>
      <c r="V54" s="54"/>
      <c r="W54" s="15" t="s">
        <v>7</v>
      </c>
      <c r="X54" s="16"/>
      <c r="Y54" s="18" t="s">
        <v>9</v>
      </c>
      <c r="Z54" s="59" t="s">
        <v>8</v>
      </c>
    </row>
    <row r="55" spans="1:26">
      <c r="A55" s="30" t="s">
        <v>199</v>
      </c>
      <c r="B55" s="31"/>
      <c r="C55" s="20">
        <v>17.95</v>
      </c>
      <c r="D55" s="19">
        <f>C55*20</f>
        <v>359</v>
      </c>
      <c r="E55" s="54"/>
      <c r="F55" s="30" t="s">
        <v>200</v>
      </c>
      <c r="G55" s="31"/>
      <c r="H55" s="31"/>
      <c r="I55" s="20">
        <v>8.98</v>
      </c>
      <c r="J55" s="19">
        <f t="shared" ref="J55:J81" si="0">I55*20</f>
        <v>179.60000000000002</v>
      </c>
      <c r="K55" s="56"/>
      <c r="L55" s="30" t="s">
        <v>201</v>
      </c>
      <c r="M55" s="31"/>
      <c r="N55" s="31"/>
      <c r="O55" s="20">
        <v>1.79</v>
      </c>
      <c r="P55" s="19">
        <f t="shared" ref="P55:P61" si="1">O55*20</f>
        <v>35.799999999999997</v>
      </c>
      <c r="Q55" s="60"/>
      <c r="R55" s="108" t="s">
        <v>202</v>
      </c>
      <c r="S55" s="109"/>
      <c r="T55" s="20">
        <v>2.5</v>
      </c>
      <c r="U55" s="19">
        <f t="shared" ref="U55:U60" si="2">T55*20</f>
        <v>50</v>
      </c>
      <c r="V55" s="54"/>
      <c r="W55" s="61" t="s">
        <v>16</v>
      </c>
      <c r="X55" s="62"/>
      <c r="Y55" s="20">
        <v>100</v>
      </c>
      <c r="Z55" s="19">
        <v>0.54</v>
      </c>
    </row>
    <row r="56" spans="1:26">
      <c r="A56" s="44" t="s">
        <v>203</v>
      </c>
      <c r="B56" s="45"/>
      <c r="C56" s="27">
        <v>18.5</v>
      </c>
      <c r="D56" s="21">
        <f t="shared" ref="D56:D115" si="3">C56*20</f>
        <v>370</v>
      </c>
      <c r="E56" s="54"/>
      <c r="F56" s="44" t="s">
        <v>204</v>
      </c>
      <c r="G56" s="45"/>
      <c r="H56" s="45"/>
      <c r="I56" s="27">
        <v>6.1</v>
      </c>
      <c r="J56" s="21">
        <f t="shared" si="0"/>
        <v>122</v>
      </c>
      <c r="K56" s="56"/>
      <c r="L56" s="44" t="s">
        <v>205</v>
      </c>
      <c r="M56" s="45"/>
      <c r="N56" s="45"/>
      <c r="O56" s="27">
        <v>2.98</v>
      </c>
      <c r="P56" s="21">
        <f t="shared" si="1"/>
        <v>59.6</v>
      </c>
      <c r="Q56" s="60"/>
      <c r="R56" s="44" t="s">
        <v>206</v>
      </c>
      <c r="S56" s="45"/>
      <c r="T56" s="27">
        <v>0.45</v>
      </c>
      <c r="U56" s="21">
        <f t="shared" si="2"/>
        <v>9</v>
      </c>
      <c r="V56" s="54"/>
      <c r="W56" s="63" t="s">
        <v>207</v>
      </c>
      <c r="X56" s="64"/>
      <c r="Y56" s="27">
        <v>100</v>
      </c>
      <c r="Z56" s="21">
        <v>0.53</v>
      </c>
    </row>
    <row r="57" spans="1:26">
      <c r="A57" s="30" t="s">
        <v>208</v>
      </c>
      <c r="B57" s="31"/>
      <c r="C57" s="20">
        <v>13.85</v>
      </c>
      <c r="D57" s="19">
        <f t="shared" si="3"/>
        <v>277</v>
      </c>
      <c r="E57" s="54"/>
      <c r="F57" s="30" t="s">
        <v>209</v>
      </c>
      <c r="G57" s="31"/>
      <c r="H57" s="31"/>
      <c r="I57" s="20">
        <v>0.89</v>
      </c>
      <c r="J57" s="19">
        <f t="shared" si="0"/>
        <v>17.8</v>
      </c>
      <c r="K57" s="56"/>
      <c r="L57" s="30" t="s">
        <v>210</v>
      </c>
      <c r="M57" s="31"/>
      <c r="N57" s="31"/>
      <c r="O57" s="20">
        <v>2.98</v>
      </c>
      <c r="P57" s="19">
        <f t="shared" si="1"/>
        <v>59.6</v>
      </c>
      <c r="Q57" s="60"/>
      <c r="R57" s="30" t="s">
        <v>211</v>
      </c>
      <c r="S57" s="31"/>
      <c r="T57" s="20">
        <v>0.65</v>
      </c>
      <c r="U57" s="19">
        <f t="shared" si="2"/>
        <v>13</v>
      </c>
      <c r="V57" s="54"/>
      <c r="W57" s="65" t="s">
        <v>212</v>
      </c>
      <c r="X57" s="66"/>
      <c r="Y57" s="20">
        <v>100</v>
      </c>
      <c r="Z57" s="19">
        <v>1.34</v>
      </c>
    </row>
    <row r="58" spans="1:26">
      <c r="A58" s="44" t="s">
        <v>213</v>
      </c>
      <c r="B58" s="45"/>
      <c r="C58" s="27">
        <v>9.9499999999999993</v>
      </c>
      <c r="D58" s="21">
        <f t="shared" si="3"/>
        <v>199</v>
      </c>
      <c r="E58" s="54"/>
      <c r="F58" s="44" t="s">
        <v>214</v>
      </c>
      <c r="G58" s="45"/>
      <c r="H58" s="45"/>
      <c r="I58" s="27">
        <v>6.79</v>
      </c>
      <c r="J58" s="21">
        <f t="shared" si="0"/>
        <v>135.80000000000001</v>
      </c>
      <c r="K58" s="56"/>
      <c r="L58" s="44" t="s">
        <v>215</v>
      </c>
      <c r="M58" s="45"/>
      <c r="N58" s="45"/>
      <c r="O58" s="27">
        <v>0.98</v>
      </c>
      <c r="P58" s="21">
        <f t="shared" si="1"/>
        <v>19.600000000000001</v>
      </c>
      <c r="Q58" s="56"/>
      <c r="R58" s="44" t="s">
        <v>216</v>
      </c>
      <c r="S58" s="45"/>
      <c r="T58" s="27">
        <v>1.25</v>
      </c>
      <c r="U58" s="21">
        <f t="shared" si="2"/>
        <v>25</v>
      </c>
      <c r="V58" s="54"/>
      <c r="W58" s="72" t="s">
        <v>217</v>
      </c>
      <c r="X58" s="67"/>
      <c r="Y58" s="27">
        <v>100</v>
      </c>
      <c r="Z58" s="21">
        <v>7.63</v>
      </c>
    </row>
    <row r="59" spans="1:26" ht="15.75">
      <c r="A59" s="30" t="s">
        <v>218</v>
      </c>
      <c r="B59" s="31"/>
      <c r="C59" s="20">
        <v>0.69</v>
      </c>
      <c r="D59" s="19">
        <f t="shared" si="3"/>
        <v>13.799999999999999</v>
      </c>
      <c r="E59" s="54"/>
      <c r="F59" s="80" t="s">
        <v>219</v>
      </c>
      <c r="G59" s="81"/>
      <c r="H59" s="81"/>
      <c r="I59" s="20">
        <v>5.0599999999999996</v>
      </c>
      <c r="J59" s="19">
        <f t="shared" si="0"/>
        <v>101.19999999999999</v>
      </c>
      <c r="K59" s="56"/>
      <c r="L59" s="30" t="s">
        <v>220</v>
      </c>
      <c r="M59" s="31"/>
      <c r="N59" s="31"/>
      <c r="O59" s="20">
        <v>2.59</v>
      </c>
      <c r="P59" s="19">
        <f t="shared" si="1"/>
        <v>51.8</v>
      </c>
      <c r="Q59" s="57"/>
      <c r="R59" s="30" t="s">
        <v>221</v>
      </c>
      <c r="S59" s="31"/>
      <c r="T59" s="20">
        <v>2.5</v>
      </c>
      <c r="U59" s="19">
        <f t="shared" si="2"/>
        <v>50</v>
      </c>
      <c r="V59" s="54"/>
      <c r="W59" s="65" t="s">
        <v>222</v>
      </c>
      <c r="X59" s="66"/>
      <c r="Y59" s="20">
        <v>100</v>
      </c>
      <c r="Z59" s="19">
        <v>5.95</v>
      </c>
    </row>
    <row r="60" spans="1:26" ht="15" thickBot="1">
      <c r="A60" s="44" t="s">
        <v>223</v>
      </c>
      <c r="B60" s="45"/>
      <c r="C60" s="27" t="s">
        <v>224</v>
      </c>
      <c r="D60" s="21" t="s">
        <v>225</v>
      </c>
      <c r="E60" s="54"/>
      <c r="F60" s="44" t="s">
        <v>226</v>
      </c>
      <c r="G60" s="45"/>
      <c r="H60" s="45"/>
      <c r="I60" s="27">
        <v>3.65</v>
      </c>
      <c r="J60" s="21">
        <f t="shared" si="0"/>
        <v>73</v>
      </c>
      <c r="K60" s="56"/>
      <c r="L60" s="44" t="s">
        <v>227</v>
      </c>
      <c r="M60" s="45"/>
      <c r="N60" s="45"/>
      <c r="O60" s="27">
        <v>4.95</v>
      </c>
      <c r="P60" s="21">
        <f t="shared" si="1"/>
        <v>99</v>
      </c>
      <c r="Q60" s="60"/>
      <c r="R60" s="40" t="s">
        <v>228</v>
      </c>
      <c r="S60" s="41"/>
      <c r="T60" s="68">
        <v>0.45</v>
      </c>
      <c r="U60" s="34">
        <f t="shared" si="2"/>
        <v>9</v>
      </c>
      <c r="V60" s="54"/>
      <c r="W60" s="63" t="s">
        <v>229</v>
      </c>
      <c r="X60" s="64"/>
      <c r="Y60" s="27">
        <v>100</v>
      </c>
      <c r="Z60" s="21">
        <v>2.97</v>
      </c>
    </row>
    <row r="61" spans="1:26" ht="15" thickBot="1">
      <c r="A61" s="30" t="s">
        <v>230</v>
      </c>
      <c r="B61" s="31"/>
      <c r="C61" s="20">
        <v>37.5</v>
      </c>
      <c r="D61" s="19">
        <f t="shared" si="3"/>
        <v>750</v>
      </c>
      <c r="E61" s="54"/>
      <c r="F61" s="30" t="s">
        <v>231</v>
      </c>
      <c r="G61" s="31"/>
      <c r="H61" s="31"/>
      <c r="I61" s="20">
        <v>2.59</v>
      </c>
      <c r="J61" s="19">
        <f t="shared" si="0"/>
        <v>51.8</v>
      </c>
      <c r="K61" s="56"/>
      <c r="L61" s="30" t="s">
        <v>232</v>
      </c>
      <c r="M61" s="31"/>
      <c r="N61" s="31"/>
      <c r="O61" s="20">
        <v>0.4</v>
      </c>
      <c r="P61" s="19">
        <f t="shared" si="1"/>
        <v>8</v>
      </c>
      <c r="Q61" s="60"/>
      <c r="R61" s="54"/>
      <c r="S61" s="54"/>
      <c r="T61" s="54"/>
      <c r="U61" s="54"/>
      <c r="V61" s="54"/>
      <c r="W61" s="69" t="s">
        <v>233</v>
      </c>
      <c r="X61" s="39"/>
      <c r="Y61" s="20">
        <v>100</v>
      </c>
      <c r="Z61" s="19">
        <v>1.75</v>
      </c>
    </row>
    <row r="62" spans="1:26" ht="15.75">
      <c r="A62" s="70" t="s">
        <v>234</v>
      </c>
      <c r="B62" s="71"/>
      <c r="C62" s="27">
        <v>19.95</v>
      </c>
      <c r="D62" s="21">
        <f t="shared" si="3"/>
        <v>399</v>
      </c>
      <c r="E62" s="54"/>
      <c r="F62" s="44" t="s">
        <v>235</v>
      </c>
      <c r="G62" s="45"/>
      <c r="H62" s="45"/>
      <c r="I62" s="27">
        <v>0.25</v>
      </c>
      <c r="J62" s="21">
        <f t="shared" si="0"/>
        <v>5</v>
      </c>
      <c r="K62" s="56"/>
      <c r="L62" s="10" t="s">
        <v>236</v>
      </c>
      <c r="M62" s="11"/>
      <c r="N62" s="11"/>
      <c r="O62" s="11"/>
      <c r="P62" s="12"/>
      <c r="Q62" s="60"/>
      <c r="R62" s="10" t="s">
        <v>237</v>
      </c>
      <c r="S62" s="11"/>
      <c r="T62" s="11"/>
      <c r="U62" s="12"/>
      <c r="V62" s="58"/>
      <c r="W62" s="63" t="s">
        <v>238</v>
      </c>
      <c r="X62" s="64"/>
      <c r="Y62" s="27">
        <v>100</v>
      </c>
      <c r="Z62" s="21">
        <v>6.6</v>
      </c>
    </row>
    <row r="63" spans="1:26">
      <c r="A63" s="30" t="s">
        <v>239</v>
      </c>
      <c r="B63" s="31"/>
      <c r="C63" s="20">
        <v>6.95</v>
      </c>
      <c r="D63" s="19">
        <f t="shared" si="3"/>
        <v>139</v>
      </c>
      <c r="E63" s="54"/>
      <c r="F63" s="30" t="s">
        <v>240</v>
      </c>
      <c r="G63" s="31"/>
      <c r="H63" s="31"/>
      <c r="I63" s="20">
        <v>5.95</v>
      </c>
      <c r="J63" s="19">
        <f t="shared" si="0"/>
        <v>119</v>
      </c>
      <c r="K63" s="56"/>
      <c r="L63" s="30" t="s">
        <v>241</v>
      </c>
      <c r="M63" s="31"/>
      <c r="N63" s="31"/>
      <c r="O63" s="20">
        <v>1.69</v>
      </c>
      <c r="P63" s="19">
        <f t="shared" ref="P63:P67" si="4">O63*20</f>
        <v>33.799999999999997</v>
      </c>
      <c r="Q63" s="60"/>
      <c r="R63" s="15" t="s">
        <v>242</v>
      </c>
      <c r="S63" s="16"/>
      <c r="T63" s="18" t="s">
        <v>8</v>
      </c>
      <c r="U63" s="59" t="s">
        <v>198</v>
      </c>
      <c r="V63" s="54"/>
      <c r="W63" s="61" t="s">
        <v>243</v>
      </c>
      <c r="X63" s="62"/>
      <c r="Y63" s="20">
        <v>100</v>
      </c>
      <c r="Z63" s="19">
        <v>4.49</v>
      </c>
    </row>
    <row r="64" spans="1:26">
      <c r="A64" s="44" t="s">
        <v>244</v>
      </c>
      <c r="B64" s="45"/>
      <c r="C64" s="27">
        <v>4.95</v>
      </c>
      <c r="D64" s="21">
        <f t="shared" si="3"/>
        <v>99</v>
      </c>
      <c r="E64" s="54"/>
      <c r="F64" s="44" t="s">
        <v>245</v>
      </c>
      <c r="G64" s="45"/>
      <c r="H64" s="45"/>
      <c r="I64" s="27">
        <v>6.59</v>
      </c>
      <c r="J64" s="21">
        <f t="shared" si="0"/>
        <v>131.80000000000001</v>
      </c>
      <c r="K64" s="56"/>
      <c r="L64" s="44" t="s">
        <v>246</v>
      </c>
      <c r="M64" s="45"/>
      <c r="N64" s="45"/>
      <c r="O64" s="27">
        <v>3.98</v>
      </c>
      <c r="P64" s="21">
        <f t="shared" si="4"/>
        <v>79.599999999999994</v>
      </c>
      <c r="Q64" s="60"/>
      <c r="R64" s="30" t="s">
        <v>247</v>
      </c>
      <c r="S64" s="31"/>
      <c r="T64" s="20">
        <v>0.25</v>
      </c>
      <c r="U64" s="19">
        <f t="shared" ref="U64:U83" si="5">T64*20</f>
        <v>5</v>
      </c>
      <c r="V64" s="54"/>
      <c r="W64" s="63" t="s">
        <v>248</v>
      </c>
      <c r="X64" s="64"/>
      <c r="Y64" s="27">
        <v>100</v>
      </c>
      <c r="Z64" s="21">
        <v>4.43</v>
      </c>
    </row>
    <row r="65" spans="1:26">
      <c r="A65" s="30" t="s">
        <v>249</v>
      </c>
      <c r="B65" s="31"/>
      <c r="C65" s="20">
        <v>8</v>
      </c>
      <c r="D65" s="19">
        <f t="shared" si="3"/>
        <v>160</v>
      </c>
      <c r="E65" s="54"/>
      <c r="F65" s="30" t="s">
        <v>250</v>
      </c>
      <c r="G65" s="31"/>
      <c r="H65" s="31"/>
      <c r="I65" s="20">
        <v>1.39</v>
      </c>
      <c r="J65" s="19">
        <f t="shared" si="0"/>
        <v>27.799999999999997</v>
      </c>
      <c r="K65" s="56"/>
      <c r="L65" s="30" t="s">
        <v>251</v>
      </c>
      <c r="M65" s="31"/>
      <c r="N65" s="31"/>
      <c r="O65" s="20">
        <v>0.8</v>
      </c>
      <c r="P65" s="19">
        <f t="shared" si="4"/>
        <v>16</v>
      </c>
      <c r="Q65" s="60"/>
      <c r="R65" s="44" t="s">
        <v>252</v>
      </c>
      <c r="S65" s="45"/>
      <c r="T65" s="27">
        <v>0.1</v>
      </c>
      <c r="U65" s="21">
        <f t="shared" si="5"/>
        <v>2</v>
      </c>
      <c r="V65" s="54"/>
      <c r="W65" s="69" t="s">
        <v>77</v>
      </c>
      <c r="X65" s="39"/>
      <c r="Y65" s="20">
        <v>25</v>
      </c>
      <c r="Z65" s="19">
        <v>1</v>
      </c>
    </row>
    <row r="66" spans="1:26">
      <c r="A66" s="44" t="s">
        <v>253</v>
      </c>
      <c r="B66" s="45"/>
      <c r="C66" s="27">
        <v>4.95</v>
      </c>
      <c r="D66" s="21">
        <f t="shared" si="3"/>
        <v>99</v>
      </c>
      <c r="E66" s="54"/>
      <c r="F66" s="44" t="s">
        <v>254</v>
      </c>
      <c r="G66" s="45"/>
      <c r="H66" s="45"/>
      <c r="I66" s="27">
        <v>1.68</v>
      </c>
      <c r="J66" s="21">
        <f t="shared" si="0"/>
        <v>33.6</v>
      </c>
      <c r="K66" s="56"/>
      <c r="L66" s="44" t="s">
        <v>255</v>
      </c>
      <c r="M66" s="45"/>
      <c r="N66" s="45"/>
      <c r="O66" s="27">
        <v>1.04</v>
      </c>
      <c r="P66" s="21">
        <f t="shared" si="4"/>
        <v>20.8</v>
      </c>
      <c r="Q66" s="60"/>
      <c r="R66" s="42" t="s">
        <v>256</v>
      </c>
      <c r="S66" s="43"/>
      <c r="T66" s="20">
        <v>0.19</v>
      </c>
      <c r="U66" s="19">
        <f t="shared" si="5"/>
        <v>3.8</v>
      </c>
      <c r="V66" s="54"/>
      <c r="W66" s="72" t="s">
        <v>77</v>
      </c>
      <c r="X66" s="67"/>
      <c r="Y66" s="27">
        <v>100</v>
      </c>
      <c r="Z66" s="21">
        <v>3.91</v>
      </c>
    </row>
    <row r="67" spans="1:26" ht="15" thickBot="1">
      <c r="A67" s="30" t="s">
        <v>257</v>
      </c>
      <c r="B67" s="31"/>
      <c r="C67" s="20" t="s">
        <v>258</v>
      </c>
      <c r="D67" s="19" t="s">
        <v>259</v>
      </c>
      <c r="E67" s="54"/>
      <c r="F67" s="30" t="s">
        <v>260</v>
      </c>
      <c r="G67" s="31"/>
      <c r="H67" s="31"/>
      <c r="I67" s="73" t="s">
        <v>261</v>
      </c>
      <c r="J67" s="19" t="s">
        <v>262</v>
      </c>
      <c r="K67" s="56"/>
      <c r="L67" s="50" t="s">
        <v>263</v>
      </c>
      <c r="M67" s="51"/>
      <c r="N67" s="51"/>
      <c r="O67" s="28">
        <v>2.06</v>
      </c>
      <c r="P67" s="26">
        <f t="shared" si="4"/>
        <v>41.2</v>
      </c>
      <c r="Q67" s="56"/>
      <c r="R67" s="32" t="s">
        <v>264</v>
      </c>
      <c r="S67" s="33"/>
      <c r="T67" s="27">
        <v>0.43</v>
      </c>
      <c r="U67" s="21">
        <f t="shared" si="5"/>
        <v>8.6</v>
      </c>
      <c r="V67" s="54"/>
      <c r="W67" s="69" t="s">
        <v>80</v>
      </c>
      <c r="X67" s="39"/>
      <c r="Y67" s="20">
        <v>100</v>
      </c>
      <c r="Z67" s="19">
        <v>3.63</v>
      </c>
    </row>
    <row r="68" spans="1:26" ht="16.5" thickBot="1">
      <c r="A68" s="44" t="s">
        <v>265</v>
      </c>
      <c r="B68" s="45"/>
      <c r="C68" s="27">
        <v>19.5</v>
      </c>
      <c r="D68" s="21">
        <f t="shared" si="3"/>
        <v>390</v>
      </c>
      <c r="E68" s="54"/>
      <c r="F68" s="44" t="s">
        <v>266</v>
      </c>
      <c r="G68" s="45"/>
      <c r="H68" s="45"/>
      <c r="I68" s="27">
        <v>0.6</v>
      </c>
      <c r="J68" s="21">
        <f t="shared" si="0"/>
        <v>12</v>
      </c>
      <c r="K68" s="56"/>
      <c r="L68" s="54"/>
      <c r="M68" s="54"/>
      <c r="N68" s="54"/>
      <c r="O68" s="54"/>
      <c r="P68" s="54"/>
      <c r="Q68" s="57"/>
      <c r="R68" s="30" t="s">
        <v>267</v>
      </c>
      <c r="S68" s="31"/>
      <c r="T68" s="20">
        <v>0.25</v>
      </c>
      <c r="U68" s="19">
        <f t="shared" si="5"/>
        <v>5</v>
      </c>
      <c r="V68" s="54"/>
      <c r="W68" s="74" t="s">
        <v>85</v>
      </c>
      <c r="X68" s="75"/>
      <c r="Y68" s="27">
        <v>25</v>
      </c>
      <c r="Z68" s="21">
        <v>0.86</v>
      </c>
    </row>
    <row r="69" spans="1:26" ht="15.75">
      <c r="A69" s="30" t="s">
        <v>268</v>
      </c>
      <c r="B69" s="31"/>
      <c r="C69" s="20">
        <v>7.69</v>
      </c>
      <c r="D69" s="19">
        <f t="shared" si="3"/>
        <v>153.80000000000001</v>
      </c>
      <c r="E69" s="54"/>
      <c r="F69" s="30" t="s">
        <v>269</v>
      </c>
      <c r="G69" s="31"/>
      <c r="H69" s="31"/>
      <c r="I69" s="20">
        <v>1</v>
      </c>
      <c r="J69" s="19">
        <f t="shared" si="0"/>
        <v>20</v>
      </c>
      <c r="K69" s="56"/>
      <c r="L69" s="10" t="s">
        <v>166</v>
      </c>
      <c r="M69" s="11"/>
      <c r="N69" s="11"/>
      <c r="O69" s="11"/>
      <c r="P69" s="12"/>
      <c r="Q69" s="60"/>
      <c r="R69" s="44" t="s">
        <v>270</v>
      </c>
      <c r="S69" s="45"/>
      <c r="T69" s="27">
        <v>0.13</v>
      </c>
      <c r="U69" s="21">
        <f t="shared" si="5"/>
        <v>2.6</v>
      </c>
      <c r="V69" s="54"/>
      <c r="W69" s="69" t="s">
        <v>85</v>
      </c>
      <c r="X69" s="39"/>
      <c r="Y69" s="20">
        <v>100</v>
      </c>
      <c r="Z69" s="19">
        <v>3.34</v>
      </c>
    </row>
    <row r="70" spans="1:26">
      <c r="A70" s="44" t="s">
        <v>271</v>
      </c>
      <c r="B70" s="45"/>
      <c r="C70" s="27">
        <v>4.95</v>
      </c>
      <c r="D70" s="21">
        <f t="shared" si="3"/>
        <v>99</v>
      </c>
      <c r="E70" s="54"/>
      <c r="F70" s="44" t="s">
        <v>272</v>
      </c>
      <c r="G70" s="45"/>
      <c r="H70" s="45"/>
      <c r="I70" s="27">
        <v>0.27</v>
      </c>
      <c r="J70" s="21">
        <f t="shared" si="0"/>
        <v>5.4</v>
      </c>
      <c r="K70" s="56"/>
      <c r="L70" s="15" t="s">
        <v>7</v>
      </c>
      <c r="M70" s="16"/>
      <c r="N70" s="16"/>
      <c r="O70" s="18" t="s">
        <v>8</v>
      </c>
      <c r="P70" s="59" t="s">
        <v>198</v>
      </c>
      <c r="Q70" s="60"/>
      <c r="R70" s="30" t="s">
        <v>273</v>
      </c>
      <c r="S70" s="31"/>
      <c r="T70" s="20">
        <v>0.4</v>
      </c>
      <c r="U70" s="19">
        <f t="shared" si="5"/>
        <v>8</v>
      </c>
      <c r="V70" s="54"/>
      <c r="W70" s="74" t="s">
        <v>90</v>
      </c>
      <c r="X70" s="75"/>
      <c r="Y70" s="27">
        <v>25</v>
      </c>
      <c r="Z70" s="21">
        <v>0.85</v>
      </c>
    </row>
    <row r="71" spans="1:26" ht="15" thickBot="1">
      <c r="A71" s="30" t="s">
        <v>274</v>
      </c>
      <c r="B71" s="31"/>
      <c r="C71" s="20">
        <v>0.79</v>
      </c>
      <c r="D71" s="19">
        <f t="shared" si="3"/>
        <v>15.8</v>
      </c>
      <c r="E71" s="54"/>
      <c r="F71" s="30" t="s">
        <v>275</v>
      </c>
      <c r="G71" s="31"/>
      <c r="H71" s="31"/>
      <c r="I71" s="20">
        <v>3.45</v>
      </c>
      <c r="J71" s="19">
        <f t="shared" si="0"/>
        <v>69</v>
      </c>
      <c r="K71" s="56"/>
      <c r="L71" s="44" t="s">
        <v>276</v>
      </c>
      <c r="M71" s="45"/>
      <c r="N71" s="45"/>
      <c r="O71" s="27">
        <v>0.1</v>
      </c>
      <c r="P71" s="21">
        <f t="shared" ref="P71:P89" si="6">O71*20</f>
        <v>2</v>
      </c>
      <c r="Q71" s="76"/>
      <c r="R71" s="32" t="s">
        <v>277</v>
      </c>
      <c r="S71" s="33"/>
      <c r="T71" s="27">
        <v>0.17</v>
      </c>
      <c r="U71" s="21">
        <f t="shared" si="5"/>
        <v>3.4000000000000004</v>
      </c>
      <c r="V71" s="54"/>
      <c r="W71" s="77" t="s">
        <v>90</v>
      </c>
      <c r="X71" s="78"/>
      <c r="Y71" s="28">
        <v>100</v>
      </c>
      <c r="Z71" s="26">
        <v>3.3</v>
      </c>
    </row>
    <row r="72" spans="1:26" ht="15" thickBot="1">
      <c r="A72" s="44" t="s">
        <v>278</v>
      </c>
      <c r="B72" s="45"/>
      <c r="C72" s="27">
        <v>1.95</v>
      </c>
      <c r="D72" s="21">
        <f t="shared" si="3"/>
        <v>39</v>
      </c>
      <c r="E72" s="54"/>
      <c r="F72" s="32" t="s">
        <v>279</v>
      </c>
      <c r="G72" s="33"/>
      <c r="H72" s="33"/>
      <c r="I72" s="79" t="s">
        <v>280</v>
      </c>
      <c r="J72" s="21" t="s">
        <v>281</v>
      </c>
      <c r="K72" s="56"/>
      <c r="L72" s="30" t="s">
        <v>282</v>
      </c>
      <c r="M72" s="31"/>
      <c r="N72" s="31"/>
      <c r="O72" s="20">
        <v>0.9</v>
      </c>
      <c r="P72" s="19">
        <f t="shared" si="6"/>
        <v>18</v>
      </c>
      <c r="Q72" s="60"/>
      <c r="R72" s="30" t="s">
        <v>283</v>
      </c>
      <c r="S72" s="31"/>
      <c r="T72" s="20">
        <v>0.5</v>
      </c>
      <c r="U72" s="19">
        <f t="shared" si="5"/>
        <v>10</v>
      </c>
      <c r="V72" s="54"/>
      <c r="W72" s="54"/>
      <c r="X72" s="54"/>
      <c r="Y72" s="54"/>
      <c r="Z72" s="54"/>
    </row>
    <row r="73" spans="1:26" ht="15.75">
      <c r="A73" s="80" t="s">
        <v>284</v>
      </c>
      <c r="B73" s="81"/>
      <c r="C73" s="20">
        <v>3.65</v>
      </c>
      <c r="D73" s="19">
        <f t="shared" si="3"/>
        <v>73</v>
      </c>
      <c r="E73" s="54"/>
      <c r="F73" s="30" t="s">
        <v>285</v>
      </c>
      <c r="G73" s="31"/>
      <c r="H73" s="31"/>
      <c r="I73" s="20">
        <v>28.5</v>
      </c>
      <c r="J73" s="19">
        <f t="shared" si="0"/>
        <v>570</v>
      </c>
      <c r="K73" s="56"/>
      <c r="L73" s="44" t="s">
        <v>286</v>
      </c>
      <c r="M73" s="45"/>
      <c r="N73" s="45"/>
      <c r="O73" s="27">
        <v>0.25</v>
      </c>
      <c r="P73" s="21">
        <f t="shared" si="6"/>
        <v>5</v>
      </c>
      <c r="Q73" s="60"/>
      <c r="R73" s="44" t="s">
        <v>287</v>
      </c>
      <c r="S73" s="45"/>
      <c r="T73" s="27">
        <v>0.12</v>
      </c>
      <c r="U73" s="21">
        <f t="shared" si="5"/>
        <v>2.4</v>
      </c>
      <c r="V73" s="54"/>
      <c r="W73" s="10" t="s">
        <v>98</v>
      </c>
      <c r="X73" s="11"/>
      <c r="Y73" s="11"/>
      <c r="Z73" s="12"/>
    </row>
    <row r="74" spans="1:26">
      <c r="A74" s="44" t="s">
        <v>288</v>
      </c>
      <c r="B74" s="45"/>
      <c r="C74" s="27">
        <v>0.98</v>
      </c>
      <c r="D74" s="21">
        <f t="shared" si="3"/>
        <v>19.600000000000001</v>
      </c>
      <c r="E74" s="54"/>
      <c r="F74" s="44" t="s">
        <v>289</v>
      </c>
      <c r="G74" s="45"/>
      <c r="H74" s="45"/>
      <c r="I74" s="27">
        <v>3.25</v>
      </c>
      <c r="J74" s="21">
        <f t="shared" si="0"/>
        <v>65</v>
      </c>
      <c r="K74" s="56"/>
      <c r="L74" s="30" t="s">
        <v>290</v>
      </c>
      <c r="M74" s="31"/>
      <c r="N74" s="31"/>
      <c r="O74" s="20">
        <v>0.25</v>
      </c>
      <c r="P74" s="19">
        <f t="shared" si="6"/>
        <v>5</v>
      </c>
      <c r="Q74" s="56"/>
      <c r="R74" s="30" t="s">
        <v>291</v>
      </c>
      <c r="S74" s="31"/>
      <c r="T74" s="20">
        <v>7.0000000000000007E-2</v>
      </c>
      <c r="U74" s="19">
        <f t="shared" si="5"/>
        <v>1.4000000000000001</v>
      </c>
      <c r="V74" s="54"/>
      <c r="W74" s="15" t="s">
        <v>7</v>
      </c>
      <c r="X74" s="16"/>
      <c r="Y74" s="18" t="s">
        <v>8</v>
      </c>
      <c r="Z74" s="59" t="s">
        <v>198</v>
      </c>
    </row>
    <row r="75" spans="1:26" ht="15.75">
      <c r="A75" s="30" t="s">
        <v>292</v>
      </c>
      <c r="B75" s="31"/>
      <c r="C75" s="20">
        <v>16.95</v>
      </c>
      <c r="D75" s="19">
        <f t="shared" si="3"/>
        <v>339</v>
      </c>
      <c r="E75" s="54"/>
      <c r="F75" s="30" t="s">
        <v>293</v>
      </c>
      <c r="G75" s="31"/>
      <c r="H75" s="31"/>
      <c r="I75" s="20">
        <v>2.85</v>
      </c>
      <c r="J75" s="19">
        <f t="shared" si="0"/>
        <v>57</v>
      </c>
      <c r="K75" s="56"/>
      <c r="L75" s="44" t="s">
        <v>294</v>
      </c>
      <c r="M75" s="45"/>
      <c r="N75" s="45"/>
      <c r="O75" s="27">
        <v>10.45</v>
      </c>
      <c r="P75" s="21">
        <f t="shared" si="6"/>
        <v>209</v>
      </c>
      <c r="Q75" s="57"/>
      <c r="R75" s="44" t="s">
        <v>295</v>
      </c>
      <c r="S75" s="45"/>
      <c r="T75" s="27">
        <v>0.1</v>
      </c>
      <c r="U75" s="21">
        <f t="shared" si="5"/>
        <v>2</v>
      </c>
      <c r="V75" s="54"/>
      <c r="W75" s="82" t="s">
        <v>296</v>
      </c>
      <c r="X75" s="83"/>
      <c r="Y75" s="27">
        <v>9.1999999999999993</v>
      </c>
      <c r="Z75" s="21">
        <f>Y75*20</f>
        <v>184</v>
      </c>
    </row>
    <row r="76" spans="1:26">
      <c r="A76" s="44" t="s">
        <v>297</v>
      </c>
      <c r="B76" s="45"/>
      <c r="C76" s="27">
        <v>0.96</v>
      </c>
      <c r="D76" s="21">
        <f t="shared" si="3"/>
        <v>19.2</v>
      </c>
      <c r="E76" s="54"/>
      <c r="F76" s="32" t="s">
        <v>298</v>
      </c>
      <c r="G76" s="33"/>
      <c r="H76" s="33"/>
      <c r="I76" s="27">
        <v>9.35</v>
      </c>
      <c r="J76" s="21">
        <f t="shared" si="0"/>
        <v>187</v>
      </c>
      <c r="K76" s="56"/>
      <c r="L76" s="30" t="s">
        <v>299</v>
      </c>
      <c r="M76" s="31"/>
      <c r="N76" s="31"/>
      <c r="O76" s="20">
        <v>3.59</v>
      </c>
      <c r="P76" s="19">
        <f t="shared" si="6"/>
        <v>71.8</v>
      </c>
      <c r="Q76" s="60"/>
      <c r="R76" s="30" t="s">
        <v>300</v>
      </c>
      <c r="S76" s="31"/>
      <c r="T76" s="20">
        <v>0.15</v>
      </c>
      <c r="U76" s="19">
        <f t="shared" si="5"/>
        <v>3</v>
      </c>
      <c r="V76" s="54"/>
      <c r="W76" s="84" t="s">
        <v>301</v>
      </c>
      <c r="X76" s="85"/>
      <c r="Y76" s="20">
        <v>21.35</v>
      </c>
      <c r="Z76" s="19">
        <f>Y76*20</f>
        <v>427</v>
      </c>
    </row>
    <row r="77" spans="1:26" ht="15" thickBot="1">
      <c r="A77" s="30" t="s">
        <v>78</v>
      </c>
      <c r="B77" s="31"/>
      <c r="C77" s="20">
        <v>0.5</v>
      </c>
      <c r="D77" s="19">
        <f t="shared" si="3"/>
        <v>10</v>
      </c>
      <c r="E77" s="54"/>
      <c r="F77" s="30" t="s">
        <v>302</v>
      </c>
      <c r="G77" s="31"/>
      <c r="H77" s="31"/>
      <c r="I77" s="20">
        <v>0.27</v>
      </c>
      <c r="J77" s="19">
        <f t="shared" si="0"/>
        <v>5.4</v>
      </c>
      <c r="K77" s="56"/>
      <c r="L77" s="44" t="s">
        <v>303</v>
      </c>
      <c r="M77" s="45"/>
      <c r="N77" s="45"/>
      <c r="O77" s="27">
        <v>1.39</v>
      </c>
      <c r="P77" s="21">
        <f t="shared" si="6"/>
        <v>27.799999999999997</v>
      </c>
      <c r="Q77" s="86"/>
      <c r="R77" s="44" t="s">
        <v>304</v>
      </c>
      <c r="S77" s="45"/>
      <c r="T77" s="27">
        <v>0.1</v>
      </c>
      <c r="U77" s="21">
        <f t="shared" si="5"/>
        <v>2</v>
      </c>
      <c r="V77" s="54"/>
      <c r="W77" s="87" t="s">
        <v>305</v>
      </c>
      <c r="X77" s="88"/>
      <c r="Y77" s="68">
        <v>1.9</v>
      </c>
      <c r="Z77" s="34">
        <f>Y77*20</f>
        <v>38</v>
      </c>
    </row>
    <row r="78" spans="1:26" ht="15" thickBot="1">
      <c r="A78" s="44" t="s">
        <v>306</v>
      </c>
      <c r="B78" s="45"/>
      <c r="C78" s="27">
        <v>0.55000000000000004</v>
      </c>
      <c r="D78" s="21">
        <f t="shared" si="3"/>
        <v>11</v>
      </c>
      <c r="E78" s="54"/>
      <c r="F78" s="44" t="s">
        <v>307</v>
      </c>
      <c r="G78" s="45"/>
      <c r="H78" s="45"/>
      <c r="I78" s="27">
        <v>1.7</v>
      </c>
      <c r="J78" s="21">
        <f t="shared" si="0"/>
        <v>34</v>
      </c>
      <c r="K78" s="56"/>
      <c r="L78" s="30" t="s">
        <v>308</v>
      </c>
      <c r="M78" s="31"/>
      <c r="N78" s="31"/>
      <c r="O78" s="20">
        <v>12.5</v>
      </c>
      <c r="P78" s="19">
        <f t="shared" si="6"/>
        <v>250</v>
      </c>
      <c r="Q78" s="60"/>
      <c r="R78" s="30" t="s">
        <v>309</v>
      </c>
      <c r="S78" s="31"/>
      <c r="T78" s="20">
        <v>0.1</v>
      </c>
      <c r="U78" s="19">
        <f t="shared" si="5"/>
        <v>2</v>
      </c>
      <c r="V78" s="54"/>
      <c r="W78" s="54"/>
      <c r="X78" s="54"/>
      <c r="Y78" s="54"/>
      <c r="Z78" s="54"/>
    </row>
    <row r="79" spans="1:26" ht="15.75">
      <c r="A79" s="30" t="s">
        <v>310</v>
      </c>
      <c r="B79" s="31"/>
      <c r="C79" s="20">
        <v>0.39</v>
      </c>
      <c r="D79" s="19">
        <f t="shared" si="3"/>
        <v>7.8000000000000007</v>
      </c>
      <c r="E79" s="54"/>
      <c r="F79" s="30" t="s">
        <v>311</v>
      </c>
      <c r="G79" s="31"/>
      <c r="H79" s="31"/>
      <c r="I79" s="20">
        <v>3.45</v>
      </c>
      <c r="J79" s="19">
        <f t="shared" si="0"/>
        <v>69</v>
      </c>
      <c r="K79" s="56"/>
      <c r="L79" s="44" t="s">
        <v>312</v>
      </c>
      <c r="M79" s="45"/>
      <c r="N79" s="45"/>
      <c r="O79" s="27">
        <v>1.39</v>
      </c>
      <c r="P79" s="21">
        <f t="shared" si="6"/>
        <v>27.799999999999997</v>
      </c>
      <c r="Q79" s="60"/>
      <c r="R79" s="44" t="s">
        <v>313</v>
      </c>
      <c r="S79" s="45"/>
      <c r="T79" s="27">
        <v>0.13</v>
      </c>
      <c r="U79" s="21">
        <f t="shared" si="5"/>
        <v>2.6</v>
      </c>
      <c r="V79" s="54"/>
      <c r="W79" s="10" t="s">
        <v>314</v>
      </c>
      <c r="X79" s="11"/>
      <c r="Y79" s="11"/>
      <c r="Z79" s="12"/>
    </row>
    <row r="80" spans="1:26">
      <c r="A80" s="44" t="s">
        <v>315</v>
      </c>
      <c r="B80" s="45"/>
      <c r="C80" s="27">
        <v>1.48</v>
      </c>
      <c r="D80" s="21">
        <f t="shared" si="3"/>
        <v>29.6</v>
      </c>
      <c r="E80" s="54"/>
      <c r="F80" s="44" t="s">
        <v>316</v>
      </c>
      <c r="G80" s="45"/>
      <c r="H80" s="45"/>
      <c r="I80" s="27">
        <v>0.62</v>
      </c>
      <c r="J80" s="21">
        <f t="shared" si="0"/>
        <v>12.4</v>
      </c>
      <c r="K80" s="56"/>
      <c r="L80" s="30" t="s">
        <v>317</v>
      </c>
      <c r="M80" s="31"/>
      <c r="N80" s="31"/>
      <c r="O80" s="20">
        <v>0.69</v>
      </c>
      <c r="P80" s="19">
        <f t="shared" si="6"/>
        <v>13.799999999999999</v>
      </c>
      <c r="Q80" s="60"/>
      <c r="R80" s="30" t="s">
        <v>318</v>
      </c>
      <c r="S80" s="31"/>
      <c r="T80" s="20">
        <v>0.1</v>
      </c>
      <c r="U80" s="19">
        <f t="shared" si="5"/>
        <v>2</v>
      </c>
      <c r="V80" s="54"/>
      <c r="W80" s="15" t="s">
        <v>7</v>
      </c>
      <c r="X80" s="16"/>
      <c r="Y80" s="18" t="s">
        <v>8</v>
      </c>
      <c r="Z80" s="59" t="s">
        <v>198</v>
      </c>
    </row>
    <row r="81" spans="1:26">
      <c r="A81" s="30" t="s">
        <v>319</v>
      </c>
      <c r="B81" s="31"/>
      <c r="C81" s="20">
        <v>0.4</v>
      </c>
      <c r="D81" s="19">
        <f t="shared" si="3"/>
        <v>8</v>
      </c>
      <c r="E81" s="54"/>
      <c r="F81" s="30" t="s">
        <v>320</v>
      </c>
      <c r="G81" s="31"/>
      <c r="H81" s="31"/>
      <c r="I81" s="20">
        <v>0.48</v>
      </c>
      <c r="J81" s="19">
        <f t="shared" si="0"/>
        <v>9.6</v>
      </c>
      <c r="K81" s="56"/>
      <c r="L81" s="44" t="s">
        <v>321</v>
      </c>
      <c r="M81" s="45"/>
      <c r="N81" s="45"/>
      <c r="O81" s="27">
        <v>0.69</v>
      </c>
      <c r="P81" s="21">
        <f t="shared" si="6"/>
        <v>13.799999999999999</v>
      </c>
      <c r="Q81" s="60"/>
      <c r="R81" s="32" t="s">
        <v>322</v>
      </c>
      <c r="S81" s="33"/>
      <c r="T81" s="27">
        <v>2.25</v>
      </c>
      <c r="U81" s="21">
        <f t="shared" si="5"/>
        <v>45</v>
      </c>
      <c r="V81" s="54"/>
      <c r="W81" s="69" t="s">
        <v>323</v>
      </c>
      <c r="X81" s="39"/>
      <c r="Y81" s="20">
        <v>12.5</v>
      </c>
      <c r="Z81" s="19">
        <f t="shared" ref="Z81:Z89" si="7">Y81*20</f>
        <v>250</v>
      </c>
    </row>
    <row r="82" spans="1:26" ht="15.75">
      <c r="A82" s="44" t="s">
        <v>324</v>
      </c>
      <c r="B82" s="45"/>
      <c r="C82" s="27">
        <v>1.35</v>
      </c>
      <c r="D82" s="21">
        <f t="shared" si="3"/>
        <v>27</v>
      </c>
      <c r="E82" s="54"/>
      <c r="F82" s="89" t="s">
        <v>325</v>
      </c>
      <c r="G82" s="90"/>
      <c r="H82" s="90"/>
      <c r="I82" s="90"/>
      <c r="J82" s="91"/>
      <c r="K82" s="56"/>
      <c r="L82" s="30" t="s">
        <v>326</v>
      </c>
      <c r="M82" s="31"/>
      <c r="N82" s="31"/>
      <c r="O82" s="20">
        <v>0.2</v>
      </c>
      <c r="P82" s="19">
        <f t="shared" si="6"/>
        <v>4</v>
      </c>
      <c r="Q82" s="60"/>
      <c r="R82" s="30" t="s">
        <v>327</v>
      </c>
      <c r="S82" s="31"/>
      <c r="T82" s="20">
        <v>0.25</v>
      </c>
      <c r="U82" s="19">
        <f t="shared" si="5"/>
        <v>5</v>
      </c>
      <c r="V82" s="54"/>
      <c r="W82" s="74" t="s">
        <v>328</v>
      </c>
      <c r="X82" s="75"/>
      <c r="Y82" s="27">
        <v>3.75</v>
      </c>
      <c r="Z82" s="21">
        <f t="shared" si="7"/>
        <v>75</v>
      </c>
    </row>
    <row r="83" spans="1:26" ht="15" thickBot="1">
      <c r="A83" s="30" t="s">
        <v>329</v>
      </c>
      <c r="B83" s="31"/>
      <c r="C83" s="20">
        <v>0.79</v>
      </c>
      <c r="D83" s="19">
        <f t="shared" si="3"/>
        <v>15.8</v>
      </c>
      <c r="E83" s="54"/>
      <c r="F83" s="44" t="s">
        <v>330</v>
      </c>
      <c r="G83" s="45"/>
      <c r="H83" s="45"/>
      <c r="I83" s="27">
        <v>2.35</v>
      </c>
      <c r="J83" s="21">
        <f>I83*20</f>
        <v>47</v>
      </c>
      <c r="K83" s="56"/>
      <c r="L83" s="44" t="s">
        <v>331</v>
      </c>
      <c r="M83" s="45"/>
      <c r="N83" s="45"/>
      <c r="O83" s="27">
        <v>0.69</v>
      </c>
      <c r="P83" s="21">
        <f t="shared" si="6"/>
        <v>13.799999999999999</v>
      </c>
      <c r="Q83" s="60"/>
      <c r="R83" s="40" t="s">
        <v>332</v>
      </c>
      <c r="S83" s="41"/>
      <c r="T83" s="68">
        <v>0.45</v>
      </c>
      <c r="U83" s="34">
        <f t="shared" si="5"/>
        <v>9</v>
      </c>
      <c r="V83" s="54"/>
      <c r="W83" s="69" t="s">
        <v>333</v>
      </c>
      <c r="X83" s="39"/>
      <c r="Y83" s="20">
        <v>2.5</v>
      </c>
      <c r="Z83" s="19">
        <f t="shared" si="7"/>
        <v>50</v>
      </c>
    </row>
    <row r="84" spans="1:26" ht="15" thickBot="1">
      <c r="A84" s="44" t="s">
        <v>334</v>
      </c>
      <c r="B84" s="45"/>
      <c r="C84" s="27">
        <v>7.25</v>
      </c>
      <c r="D84" s="21">
        <f t="shared" si="3"/>
        <v>145</v>
      </c>
      <c r="E84" s="54"/>
      <c r="F84" s="30" t="s">
        <v>335</v>
      </c>
      <c r="G84" s="31"/>
      <c r="H84" s="31"/>
      <c r="I84" s="20">
        <v>1.2</v>
      </c>
      <c r="J84" s="19">
        <f>I84*20</f>
        <v>24</v>
      </c>
      <c r="K84" s="56"/>
      <c r="L84" s="30" t="s">
        <v>336</v>
      </c>
      <c r="M84" s="31"/>
      <c r="N84" s="31"/>
      <c r="O84" s="20">
        <v>1.79</v>
      </c>
      <c r="P84" s="19">
        <f t="shared" si="6"/>
        <v>35.799999999999997</v>
      </c>
      <c r="Q84" s="60"/>
      <c r="R84" s="54"/>
      <c r="S84" s="54"/>
      <c r="T84" s="54"/>
      <c r="U84" s="54"/>
      <c r="V84" s="54"/>
      <c r="W84" s="74" t="s">
        <v>337</v>
      </c>
      <c r="X84" s="75"/>
      <c r="Y84" s="92" t="s">
        <v>338</v>
      </c>
      <c r="Z84" s="93" t="s">
        <v>339</v>
      </c>
    </row>
    <row r="85" spans="1:26" ht="15.75">
      <c r="A85" s="30" t="s">
        <v>340</v>
      </c>
      <c r="B85" s="31"/>
      <c r="C85" s="20">
        <v>5.25</v>
      </c>
      <c r="D85" s="19">
        <f t="shared" si="3"/>
        <v>105</v>
      </c>
      <c r="E85" s="54"/>
      <c r="F85" s="44" t="s">
        <v>341</v>
      </c>
      <c r="G85" s="45"/>
      <c r="H85" s="45"/>
      <c r="I85" s="27">
        <v>0.98</v>
      </c>
      <c r="J85" s="21">
        <f>I85*20</f>
        <v>19.600000000000001</v>
      </c>
      <c r="K85" s="56"/>
      <c r="L85" s="44" t="s">
        <v>342</v>
      </c>
      <c r="M85" s="45"/>
      <c r="N85" s="45"/>
      <c r="O85" s="27">
        <v>39.950000000000003</v>
      </c>
      <c r="P85" s="21">
        <f t="shared" si="6"/>
        <v>799</v>
      </c>
      <c r="Q85" s="60"/>
      <c r="R85" s="10" t="s">
        <v>343</v>
      </c>
      <c r="S85" s="11"/>
      <c r="T85" s="11"/>
      <c r="U85" s="12"/>
      <c r="V85" s="58"/>
      <c r="W85" s="69" t="s">
        <v>344</v>
      </c>
      <c r="X85" s="39"/>
      <c r="Y85" s="20">
        <v>1</v>
      </c>
      <c r="Z85" s="19">
        <f t="shared" si="7"/>
        <v>20</v>
      </c>
    </row>
    <row r="86" spans="1:26" ht="15.75">
      <c r="A86" s="44" t="s">
        <v>345</v>
      </c>
      <c r="B86" s="45"/>
      <c r="C86" s="27">
        <v>3.45</v>
      </c>
      <c r="D86" s="21">
        <f t="shared" si="3"/>
        <v>69</v>
      </c>
      <c r="E86" s="54"/>
      <c r="F86" s="89" t="s">
        <v>346</v>
      </c>
      <c r="G86" s="90"/>
      <c r="H86" s="90"/>
      <c r="I86" s="90"/>
      <c r="J86" s="91"/>
      <c r="K86" s="56"/>
      <c r="L86" s="30" t="s">
        <v>347</v>
      </c>
      <c r="M86" s="31"/>
      <c r="N86" s="31"/>
      <c r="O86" s="20">
        <v>1.59</v>
      </c>
      <c r="P86" s="19">
        <f t="shared" si="6"/>
        <v>31.8</v>
      </c>
      <c r="Q86" s="60"/>
      <c r="R86" s="15" t="s">
        <v>7</v>
      </c>
      <c r="S86" s="16"/>
      <c r="T86" s="18" t="s">
        <v>8</v>
      </c>
      <c r="U86" s="59" t="s">
        <v>198</v>
      </c>
      <c r="V86" s="54"/>
      <c r="W86" s="74" t="s">
        <v>348</v>
      </c>
      <c r="X86" s="75"/>
      <c r="Y86" s="27">
        <v>1.98</v>
      </c>
      <c r="Z86" s="21">
        <f t="shared" si="7"/>
        <v>39.6</v>
      </c>
    </row>
    <row r="87" spans="1:26" ht="15" thickBot="1">
      <c r="A87" s="50" t="s">
        <v>349</v>
      </c>
      <c r="B87" s="51"/>
      <c r="C87" s="28">
        <v>0.75</v>
      </c>
      <c r="D87" s="26">
        <f t="shared" si="3"/>
        <v>15</v>
      </c>
      <c r="E87" s="54"/>
      <c r="F87" s="108" t="s">
        <v>350</v>
      </c>
      <c r="G87" s="109"/>
      <c r="H87" s="109"/>
      <c r="I87" s="20">
        <v>2.48</v>
      </c>
      <c r="J87" s="19">
        <f>I87*20</f>
        <v>49.6</v>
      </c>
      <c r="K87" s="56"/>
      <c r="L87" s="44" t="s">
        <v>351</v>
      </c>
      <c r="M87" s="45"/>
      <c r="N87" s="45"/>
      <c r="O87" s="27">
        <v>0.28999999999999998</v>
      </c>
      <c r="P87" s="21">
        <f t="shared" si="6"/>
        <v>5.8</v>
      </c>
      <c r="Q87" s="60"/>
      <c r="R87" s="30" t="s">
        <v>352</v>
      </c>
      <c r="S87" s="31"/>
      <c r="T87" s="20">
        <v>2.5</v>
      </c>
      <c r="U87" s="19">
        <f t="shared" ref="U87:U90" si="8">T87*20</f>
        <v>50</v>
      </c>
      <c r="V87" s="54"/>
      <c r="W87" s="69" t="s">
        <v>353</v>
      </c>
      <c r="X87" s="39"/>
      <c r="Y87" s="20">
        <v>0.6</v>
      </c>
      <c r="Z87" s="19">
        <f t="shared" si="7"/>
        <v>12</v>
      </c>
    </row>
    <row r="88" spans="1:26" ht="15" thickBot="1">
      <c r="A88" s="60"/>
      <c r="B88" s="60"/>
      <c r="C88" s="60"/>
      <c r="D88" s="60"/>
      <c r="E88" s="54"/>
      <c r="F88" s="132" t="s">
        <v>354</v>
      </c>
      <c r="G88" s="133"/>
      <c r="H88" s="133"/>
      <c r="I88" s="27">
        <v>5.98</v>
      </c>
      <c r="J88" s="21">
        <f>I88*20</f>
        <v>119.60000000000001</v>
      </c>
      <c r="K88" s="56"/>
      <c r="L88" s="30" t="s">
        <v>355</v>
      </c>
      <c r="M88" s="31"/>
      <c r="N88" s="31"/>
      <c r="O88" s="20">
        <v>1.98</v>
      </c>
      <c r="P88" s="19">
        <f t="shared" si="6"/>
        <v>39.6</v>
      </c>
      <c r="Q88" s="60"/>
      <c r="R88" s="44" t="s">
        <v>356</v>
      </c>
      <c r="S88" s="45"/>
      <c r="T88" s="27">
        <v>0.45</v>
      </c>
      <c r="U88" s="21">
        <f t="shared" si="8"/>
        <v>9</v>
      </c>
      <c r="V88" s="54"/>
      <c r="W88" s="74" t="s">
        <v>357</v>
      </c>
      <c r="X88" s="75"/>
      <c r="Y88" s="27">
        <v>1.95</v>
      </c>
      <c r="Z88" s="21">
        <f t="shared" si="7"/>
        <v>39</v>
      </c>
    </row>
    <row r="89" spans="1:26" ht="16.5" thickBot="1">
      <c r="A89" s="10" t="s">
        <v>106</v>
      </c>
      <c r="B89" s="11"/>
      <c r="C89" s="11"/>
      <c r="D89" s="12"/>
      <c r="E89" s="54"/>
      <c r="F89" s="30" t="s">
        <v>358</v>
      </c>
      <c r="G89" s="31"/>
      <c r="H89" s="31"/>
      <c r="I89" s="20">
        <v>11.43</v>
      </c>
      <c r="J89" s="19">
        <f>I89*20</f>
        <v>228.6</v>
      </c>
      <c r="K89" s="56"/>
      <c r="L89" s="40" t="s">
        <v>359</v>
      </c>
      <c r="M89" s="41"/>
      <c r="N89" s="41"/>
      <c r="O89" s="68">
        <v>0.98</v>
      </c>
      <c r="P89" s="34">
        <f t="shared" si="6"/>
        <v>19.600000000000001</v>
      </c>
      <c r="Q89" s="60"/>
      <c r="R89" s="30" t="s">
        <v>360</v>
      </c>
      <c r="S89" s="31"/>
      <c r="T89" s="20">
        <v>0.65</v>
      </c>
      <c r="U89" s="19">
        <f t="shared" si="8"/>
        <v>13</v>
      </c>
      <c r="V89" s="54"/>
      <c r="W89" s="94" t="s">
        <v>361</v>
      </c>
      <c r="X89" s="95"/>
      <c r="Y89" s="28">
        <v>1.75</v>
      </c>
      <c r="Z89" s="26">
        <f t="shared" si="7"/>
        <v>35</v>
      </c>
    </row>
    <row r="90" spans="1:26" ht="16.5" thickBot="1">
      <c r="A90" s="15" t="s">
        <v>7</v>
      </c>
      <c r="B90" s="16"/>
      <c r="C90" s="18" t="s">
        <v>8</v>
      </c>
      <c r="D90" s="17" t="s">
        <v>198</v>
      </c>
      <c r="E90" s="54"/>
      <c r="F90" s="89" t="s">
        <v>362</v>
      </c>
      <c r="G90" s="90"/>
      <c r="H90" s="90"/>
      <c r="I90" s="90"/>
      <c r="J90" s="91"/>
      <c r="K90" s="56"/>
      <c r="L90" s="54"/>
      <c r="M90" s="54"/>
      <c r="N90" s="54"/>
      <c r="O90" s="54"/>
      <c r="P90" s="54"/>
      <c r="Q90" s="60"/>
      <c r="R90" s="40" t="s">
        <v>363</v>
      </c>
      <c r="S90" s="41"/>
      <c r="T90" s="68">
        <v>1.25</v>
      </c>
      <c r="U90" s="34">
        <f t="shared" si="8"/>
        <v>25</v>
      </c>
      <c r="V90" s="54"/>
      <c r="W90" s="54"/>
      <c r="X90" s="54"/>
      <c r="Y90" s="54"/>
      <c r="Z90" s="54"/>
    </row>
    <row r="91" spans="1:26" ht="16.5" thickBot="1">
      <c r="A91" s="30" t="s">
        <v>364</v>
      </c>
      <c r="B91" s="31"/>
      <c r="C91" s="20" t="s">
        <v>142</v>
      </c>
      <c r="D91" s="19" t="s">
        <v>365</v>
      </c>
      <c r="E91" s="54"/>
      <c r="F91" s="44" t="s">
        <v>366</v>
      </c>
      <c r="G91" s="45"/>
      <c r="H91" s="45"/>
      <c r="I91" s="27">
        <v>35.200000000000003</v>
      </c>
      <c r="J91" s="21">
        <f>I91*20</f>
        <v>704</v>
      </c>
      <c r="K91" s="60"/>
      <c r="L91" s="10" t="s">
        <v>367</v>
      </c>
      <c r="M91" s="11"/>
      <c r="N91" s="11"/>
      <c r="O91" s="11"/>
      <c r="P91" s="12"/>
      <c r="Q91" s="60"/>
      <c r="R91" s="54"/>
      <c r="S91" s="54"/>
      <c r="T91" s="54"/>
      <c r="U91" s="54"/>
      <c r="V91" s="54"/>
      <c r="W91" s="10" t="s">
        <v>368</v>
      </c>
      <c r="X91" s="11"/>
      <c r="Y91" s="11"/>
      <c r="Z91" s="12"/>
    </row>
    <row r="92" spans="1:26" ht="15.75">
      <c r="A92" s="44" t="s">
        <v>369</v>
      </c>
      <c r="B92" s="45"/>
      <c r="C92" s="27">
        <v>13.95</v>
      </c>
      <c r="D92" s="21">
        <f t="shared" si="3"/>
        <v>279</v>
      </c>
      <c r="E92" s="54"/>
      <c r="F92" s="30" t="s">
        <v>370</v>
      </c>
      <c r="G92" s="31"/>
      <c r="H92" s="31"/>
      <c r="I92" s="20">
        <v>79.95</v>
      </c>
      <c r="J92" s="19">
        <f>I92*20</f>
        <v>1599</v>
      </c>
      <c r="K92" s="56"/>
      <c r="L92" s="15" t="s">
        <v>7</v>
      </c>
      <c r="M92" s="16"/>
      <c r="N92" s="16"/>
      <c r="O92" s="18" t="s">
        <v>8</v>
      </c>
      <c r="P92" s="96" t="s">
        <v>198</v>
      </c>
      <c r="Q92" s="60"/>
      <c r="R92" s="10" t="s">
        <v>84</v>
      </c>
      <c r="S92" s="11"/>
      <c r="T92" s="11"/>
      <c r="U92" s="12"/>
      <c r="V92" s="54"/>
      <c r="W92" s="15" t="s">
        <v>7</v>
      </c>
      <c r="X92" s="16"/>
      <c r="Y92" s="16"/>
      <c r="Z92" s="17" t="s">
        <v>8</v>
      </c>
    </row>
    <row r="93" spans="1:26" ht="15" thickBot="1">
      <c r="A93" s="30" t="s">
        <v>371</v>
      </c>
      <c r="B93" s="31"/>
      <c r="C93" s="20">
        <v>10.95</v>
      </c>
      <c r="D93" s="19">
        <f t="shared" si="3"/>
        <v>219</v>
      </c>
      <c r="E93" s="54"/>
      <c r="F93" s="40" t="s">
        <v>372</v>
      </c>
      <c r="G93" s="41"/>
      <c r="H93" s="41"/>
      <c r="I93" s="68">
        <v>75</v>
      </c>
      <c r="J93" s="34">
        <f>I93*20</f>
        <v>1500</v>
      </c>
      <c r="K93" s="56"/>
      <c r="L93" s="30" t="s">
        <v>373</v>
      </c>
      <c r="M93" s="31"/>
      <c r="N93" s="31"/>
      <c r="O93" s="20">
        <v>4.9800000000000004</v>
      </c>
      <c r="P93" s="19">
        <f>O93*20</f>
        <v>99.600000000000009</v>
      </c>
      <c r="Q93" s="60"/>
      <c r="R93" s="15" t="s">
        <v>7</v>
      </c>
      <c r="S93" s="16"/>
      <c r="T93" s="18" t="s">
        <v>8</v>
      </c>
      <c r="U93" s="59" t="s">
        <v>198</v>
      </c>
      <c r="V93" s="54"/>
      <c r="W93" s="69" t="s">
        <v>374</v>
      </c>
      <c r="X93" s="39"/>
      <c r="Y93" s="39"/>
      <c r="Z93" s="19" t="s">
        <v>375</v>
      </c>
    </row>
    <row r="94" spans="1:26" ht="15" thickBot="1">
      <c r="A94" s="44" t="s">
        <v>376</v>
      </c>
      <c r="B94" s="45"/>
      <c r="C94" s="27">
        <v>10.95</v>
      </c>
      <c r="D94" s="21">
        <f t="shared" si="3"/>
        <v>219</v>
      </c>
      <c r="E94" s="54"/>
      <c r="F94" s="54"/>
      <c r="G94" s="54"/>
      <c r="H94" s="54"/>
      <c r="I94" s="54"/>
      <c r="J94" s="54"/>
      <c r="K94" s="54"/>
      <c r="L94" s="32" t="s">
        <v>377</v>
      </c>
      <c r="M94" s="33"/>
      <c r="N94" s="33"/>
      <c r="O94" s="27">
        <v>9.98</v>
      </c>
      <c r="P94" s="21">
        <f>O94*20</f>
        <v>199.60000000000002</v>
      </c>
      <c r="Q94" s="54"/>
      <c r="R94" s="108" t="s">
        <v>378</v>
      </c>
      <c r="S94" s="109"/>
      <c r="T94" s="20">
        <v>14.9</v>
      </c>
      <c r="U94" s="19">
        <f t="shared" ref="U94:U110" si="9">T94*20</f>
        <v>298</v>
      </c>
      <c r="V94" s="54"/>
      <c r="W94" s="74" t="s">
        <v>379</v>
      </c>
      <c r="X94" s="75"/>
      <c r="Y94" s="75"/>
      <c r="Z94" s="21" t="s">
        <v>380</v>
      </c>
    </row>
    <row r="95" spans="1:26" ht="15.75">
      <c r="A95" s="30" t="s">
        <v>381</v>
      </c>
      <c r="B95" s="31"/>
      <c r="C95" s="20">
        <v>2.59</v>
      </c>
      <c r="D95" s="19">
        <f t="shared" si="3"/>
        <v>51.8</v>
      </c>
      <c r="E95" s="54"/>
      <c r="F95" s="10" t="s">
        <v>382</v>
      </c>
      <c r="G95" s="11"/>
      <c r="H95" s="11"/>
      <c r="I95" s="11"/>
      <c r="J95" s="12"/>
      <c r="K95" s="54"/>
      <c r="L95" s="108" t="s">
        <v>383</v>
      </c>
      <c r="M95" s="109"/>
      <c r="N95" s="109"/>
      <c r="O95" s="20">
        <v>22.95</v>
      </c>
      <c r="P95" s="19">
        <f>O95*20</f>
        <v>459</v>
      </c>
      <c r="Q95" s="54"/>
      <c r="R95" s="132" t="s">
        <v>384</v>
      </c>
      <c r="S95" s="133"/>
      <c r="T95" s="27">
        <v>6.15</v>
      </c>
      <c r="U95" s="21">
        <f t="shared" si="9"/>
        <v>123</v>
      </c>
      <c r="V95" s="54"/>
      <c r="W95" s="69" t="s">
        <v>385</v>
      </c>
      <c r="X95" s="39"/>
      <c r="Y95" s="39"/>
      <c r="Z95" s="19">
        <v>25</v>
      </c>
    </row>
    <row r="96" spans="1:26">
      <c r="A96" s="44" t="s">
        <v>386</v>
      </c>
      <c r="B96" s="45"/>
      <c r="C96" s="27">
        <v>10.95</v>
      </c>
      <c r="D96" s="21">
        <f t="shared" si="3"/>
        <v>219</v>
      </c>
      <c r="E96" s="54"/>
      <c r="F96" s="15" t="s">
        <v>387</v>
      </c>
      <c r="G96" s="16"/>
      <c r="H96" s="16"/>
      <c r="I96" s="16"/>
      <c r="J96" s="17" t="s">
        <v>8</v>
      </c>
      <c r="K96" s="54"/>
      <c r="L96" s="44" t="s">
        <v>388</v>
      </c>
      <c r="M96" s="45"/>
      <c r="N96" s="45"/>
      <c r="O96" s="27">
        <v>0.79</v>
      </c>
      <c r="P96" s="21">
        <f>O96*20</f>
        <v>15.8</v>
      </c>
      <c r="Q96" s="54"/>
      <c r="R96" s="30" t="s">
        <v>389</v>
      </c>
      <c r="S96" s="31"/>
      <c r="T96" s="20">
        <v>1.75</v>
      </c>
      <c r="U96" s="19">
        <f t="shared" si="9"/>
        <v>35</v>
      </c>
      <c r="V96" s="54"/>
      <c r="W96" s="74" t="s">
        <v>390</v>
      </c>
      <c r="X96" s="75"/>
      <c r="Y96" s="75"/>
      <c r="Z96" s="97" t="s">
        <v>391</v>
      </c>
    </row>
    <row r="97" spans="1:26">
      <c r="A97" s="30" t="s">
        <v>392</v>
      </c>
      <c r="B97" s="31"/>
      <c r="C97" s="20">
        <v>7.95</v>
      </c>
      <c r="D97" s="19">
        <f t="shared" si="3"/>
        <v>159</v>
      </c>
      <c r="E97" s="54"/>
      <c r="F97" s="30" t="s">
        <v>393</v>
      </c>
      <c r="G97" s="31"/>
      <c r="H97" s="31"/>
      <c r="I97" s="31"/>
      <c r="J97" s="19">
        <v>2</v>
      </c>
      <c r="K97" s="54"/>
      <c r="L97" s="30" t="s">
        <v>394</v>
      </c>
      <c r="M97" s="31"/>
      <c r="N97" s="31"/>
      <c r="O97" s="20">
        <v>2.19</v>
      </c>
      <c r="P97" s="19">
        <v>43.8</v>
      </c>
      <c r="Q97" s="54"/>
      <c r="R97" s="44" t="s">
        <v>395</v>
      </c>
      <c r="S97" s="45"/>
      <c r="T97" s="27">
        <v>0.95</v>
      </c>
      <c r="U97" s="21">
        <f t="shared" si="9"/>
        <v>19</v>
      </c>
      <c r="V97" s="54"/>
      <c r="W97" s="69" t="s">
        <v>396</v>
      </c>
      <c r="X97" s="39"/>
      <c r="Y97" s="39"/>
      <c r="Z97" s="19">
        <v>45</v>
      </c>
    </row>
    <row r="98" spans="1:26">
      <c r="A98" s="44" t="s">
        <v>397</v>
      </c>
      <c r="B98" s="45"/>
      <c r="C98" s="27">
        <v>1.98</v>
      </c>
      <c r="D98" s="21">
        <f t="shared" si="3"/>
        <v>39.6</v>
      </c>
      <c r="E98" s="54"/>
      <c r="F98" s="44" t="s">
        <v>398</v>
      </c>
      <c r="G98" s="45"/>
      <c r="H98" s="45"/>
      <c r="I98" s="45"/>
      <c r="J98" s="21">
        <v>18</v>
      </c>
      <c r="K98" s="54"/>
      <c r="L98" s="44" t="s">
        <v>399</v>
      </c>
      <c r="M98" s="45"/>
      <c r="N98" s="45"/>
      <c r="O98" s="27">
        <v>0.89</v>
      </c>
      <c r="P98" s="21">
        <v>17.8</v>
      </c>
      <c r="Q98" s="54"/>
      <c r="R98" s="30" t="s">
        <v>400</v>
      </c>
      <c r="S98" s="31"/>
      <c r="T98" s="20">
        <v>8.6</v>
      </c>
      <c r="U98" s="19">
        <f t="shared" si="9"/>
        <v>172</v>
      </c>
      <c r="V98" s="54"/>
      <c r="W98" s="74" t="s">
        <v>401</v>
      </c>
      <c r="X98" s="75"/>
      <c r="Y98" s="75"/>
      <c r="Z98" s="21" t="s">
        <v>402</v>
      </c>
    </row>
    <row r="99" spans="1:26">
      <c r="A99" s="30" t="s">
        <v>403</v>
      </c>
      <c r="B99" s="31"/>
      <c r="C99" s="20">
        <v>9.48</v>
      </c>
      <c r="D99" s="19">
        <f t="shared" si="3"/>
        <v>189.60000000000002</v>
      </c>
      <c r="E99" s="54"/>
      <c r="F99" s="30" t="s">
        <v>404</v>
      </c>
      <c r="G99" s="31"/>
      <c r="H99" s="31"/>
      <c r="I99" s="31"/>
      <c r="J99" s="19">
        <v>300</v>
      </c>
      <c r="K99" s="54"/>
      <c r="L99" s="30" t="s">
        <v>405</v>
      </c>
      <c r="M99" s="31"/>
      <c r="N99" s="31"/>
      <c r="O99" s="20">
        <v>0.25</v>
      </c>
      <c r="P99" s="19">
        <v>5</v>
      </c>
      <c r="Q99" s="54"/>
      <c r="R99" s="44" t="s">
        <v>406</v>
      </c>
      <c r="S99" s="45"/>
      <c r="T99" s="27">
        <v>0.1</v>
      </c>
      <c r="U99" s="21">
        <f t="shared" si="9"/>
        <v>2</v>
      </c>
      <c r="V99" s="54"/>
      <c r="W99" s="98" t="s">
        <v>407</v>
      </c>
      <c r="X99" s="99"/>
      <c r="Y99" s="99"/>
      <c r="Z99" s="19">
        <v>2</v>
      </c>
    </row>
    <row r="100" spans="1:26">
      <c r="A100" s="44" t="s">
        <v>408</v>
      </c>
      <c r="B100" s="45"/>
      <c r="C100" s="27">
        <v>0.88</v>
      </c>
      <c r="D100" s="21">
        <f t="shared" si="3"/>
        <v>17.600000000000001</v>
      </c>
      <c r="E100" s="54"/>
      <c r="F100" s="44" t="s">
        <v>409</v>
      </c>
      <c r="G100" s="45"/>
      <c r="H100" s="45"/>
      <c r="I100" s="45"/>
      <c r="J100" s="21">
        <v>3000</v>
      </c>
      <c r="K100" s="54"/>
      <c r="L100" s="44" t="s">
        <v>410</v>
      </c>
      <c r="M100" s="45"/>
      <c r="N100" s="45"/>
      <c r="O100" s="27">
        <v>0.79</v>
      </c>
      <c r="P100" s="21">
        <v>15.8</v>
      </c>
      <c r="Q100" s="54"/>
      <c r="R100" s="30" t="s">
        <v>411</v>
      </c>
      <c r="S100" s="31"/>
      <c r="T100" s="20">
        <v>7.74</v>
      </c>
      <c r="U100" s="19">
        <f t="shared" si="9"/>
        <v>154.80000000000001</v>
      </c>
      <c r="V100" s="54"/>
      <c r="W100" s="100" t="s">
        <v>412</v>
      </c>
      <c r="X100" s="101"/>
      <c r="Y100" s="101"/>
      <c r="Z100" s="21">
        <v>2</v>
      </c>
    </row>
    <row r="101" spans="1:26">
      <c r="A101" s="30" t="s">
        <v>413</v>
      </c>
      <c r="B101" s="31"/>
      <c r="C101" s="20">
        <v>4.45</v>
      </c>
      <c r="D101" s="19">
        <f t="shared" si="3"/>
        <v>89</v>
      </c>
      <c r="E101" s="54"/>
      <c r="F101" s="15" t="s">
        <v>414</v>
      </c>
      <c r="G101" s="16"/>
      <c r="H101" s="16"/>
      <c r="I101" s="16"/>
      <c r="J101" s="17" t="s">
        <v>8</v>
      </c>
      <c r="K101" s="54"/>
      <c r="L101" s="30" t="s">
        <v>415</v>
      </c>
      <c r="M101" s="31"/>
      <c r="N101" s="31"/>
      <c r="O101" s="20">
        <v>0.5</v>
      </c>
      <c r="P101" s="19">
        <v>10</v>
      </c>
      <c r="Q101" s="54"/>
      <c r="R101" s="44" t="s">
        <v>416</v>
      </c>
      <c r="S101" s="45"/>
      <c r="T101" s="27">
        <v>2.25</v>
      </c>
      <c r="U101" s="21">
        <f t="shared" si="9"/>
        <v>45</v>
      </c>
      <c r="V101" s="54"/>
      <c r="W101" s="100" t="s">
        <v>417</v>
      </c>
      <c r="X101" s="101"/>
      <c r="Y101" s="101"/>
      <c r="Z101" s="102" t="s">
        <v>418</v>
      </c>
    </row>
    <row r="102" spans="1:26">
      <c r="A102" s="44" t="s">
        <v>419</v>
      </c>
      <c r="B102" s="45"/>
      <c r="C102" s="27">
        <v>0.98</v>
      </c>
      <c r="D102" s="21">
        <f t="shared" si="3"/>
        <v>19.600000000000001</v>
      </c>
      <c r="E102" s="54"/>
      <c r="F102" s="30" t="s">
        <v>29</v>
      </c>
      <c r="G102" s="31"/>
      <c r="H102" s="31"/>
      <c r="I102" s="31"/>
      <c r="J102" s="19">
        <v>2</v>
      </c>
      <c r="K102" s="54"/>
      <c r="L102" s="44" t="s">
        <v>420</v>
      </c>
      <c r="M102" s="45"/>
      <c r="N102" s="45"/>
      <c r="O102" s="27">
        <v>1.39</v>
      </c>
      <c r="P102" s="21">
        <v>27.8</v>
      </c>
      <c r="Q102" s="54"/>
      <c r="R102" s="30" t="s">
        <v>421</v>
      </c>
      <c r="S102" s="31"/>
      <c r="T102" s="20">
        <v>1.65</v>
      </c>
      <c r="U102" s="19">
        <f t="shared" si="9"/>
        <v>33</v>
      </c>
      <c r="V102" s="54"/>
      <c r="W102" s="103" t="s">
        <v>422</v>
      </c>
      <c r="X102" s="104"/>
      <c r="Y102" s="104"/>
      <c r="Z102" s="21">
        <v>10</v>
      </c>
    </row>
    <row r="103" spans="1:26">
      <c r="A103" s="30" t="s">
        <v>423</v>
      </c>
      <c r="B103" s="31"/>
      <c r="C103" s="20">
        <v>4.4400000000000004</v>
      </c>
      <c r="D103" s="19">
        <f t="shared" si="3"/>
        <v>88.800000000000011</v>
      </c>
      <c r="E103" s="54"/>
      <c r="F103" s="44" t="s">
        <v>34</v>
      </c>
      <c r="G103" s="45"/>
      <c r="H103" s="45"/>
      <c r="I103" s="45"/>
      <c r="J103" s="21">
        <v>3</v>
      </c>
      <c r="K103" s="54"/>
      <c r="L103" s="30" t="s">
        <v>424</v>
      </c>
      <c r="M103" s="31"/>
      <c r="N103" s="31"/>
      <c r="O103" s="20">
        <v>0.19</v>
      </c>
      <c r="P103" s="19">
        <v>3.8</v>
      </c>
      <c r="Q103" s="54"/>
      <c r="R103" s="44" t="s">
        <v>425</v>
      </c>
      <c r="S103" s="45"/>
      <c r="T103" s="27">
        <v>4.45</v>
      </c>
      <c r="U103" s="21">
        <f t="shared" si="9"/>
        <v>89</v>
      </c>
      <c r="V103" s="54"/>
      <c r="W103" s="134" t="s">
        <v>426</v>
      </c>
      <c r="X103" s="135"/>
      <c r="Y103" s="135"/>
      <c r="Z103" s="136"/>
    </row>
    <row r="104" spans="1:26" ht="15" thickBot="1">
      <c r="A104" s="44" t="s">
        <v>427</v>
      </c>
      <c r="B104" s="45"/>
      <c r="C104" s="27">
        <v>3.69</v>
      </c>
      <c r="D104" s="21">
        <f t="shared" si="3"/>
        <v>73.8</v>
      </c>
      <c r="E104" s="54"/>
      <c r="F104" s="30" t="s">
        <v>40</v>
      </c>
      <c r="G104" s="31"/>
      <c r="H104" s="31"/>
      <c r="I104" s="31"/>
      <c r="J104" s="19">
        <v>6</v>
      </c>
      <c r="K104" s="54"/>
      <c r="L104" s="40" t="s">
        <v>428</v>
      </c>
      <c r="M104" s="41"/>
      <c r="N104" s="41"/>
      <c r="O104" s="68">
        <v>0.39</v>
      </c>
      <c r="P104" s="34">
        <v>7.8</v>
      </c>
      <c r="Q104" s="54"/>
      <c r="R104" s="30" t="s">
        <v>429</v>
      </c>
      <c r="S104" s="31"/>
      <c r="T104" s="20">
        <v>1.98</v>
      </c>
      <c r="U104" s="19">
        <f t="shared" si="9"/>
        <v>39.6</v>
      </c>
      <c r="V104" s="54"/>
      <c r="W104" s="134"/>
      <c r="X104" s="135"/>
      <c r="Y104" s="135"/>
      <c r="Z104" s="136"/>
    </row>
    <row r="105" spans="1:26" ht="15" thickBot="1">
      <c r="A105" s="30" t="s">
        <v>430</v>
      </c>
      <c r="B105" s="31"/>
      <c r="C105" s="20">
        <v>2.59</v>
      </c>
      <c r="D105" s="19">
        <f t="shared" si="3"/>
        <v>51.8</v>
      </c>
      <c r="E105" s="54"/>
      <c r="F105" s="15" t="s">
        <v>431</v>
      </c>
      <c r="G105" s="16"/>
      <c r="H105" s="16"/>
      <c r="I105" s="16"/>
      <c r="J105" s="17" t="s">
        <v>8</v>
      </c>
      <c r="K105" s="54"/>
      <c r="L105" s="54"/>
      <c r="M105" s="54"/>
      <c r="N105" s="54"/>
      <c r="O105" s="54"/>
      <c r="P105" s="54"/>
      <c r="Q105" s="54"/>
      <c r="R105" s="70" t="s">
        <v>432</v>
      </c>
      <c r="S105" s="71"/>
      <c r="T105" s="27">
        <v>3.33</v>
      </c>
      <c r="U105" s="21">
        <f t="shared" si="9"/>
        <v>66.599999999999994</v>
      </c>
      <c r="V105" s="54"/>
      <c r="W105" s="134"/>
      <c r="X105" s="135"/>
      <c r="Y105" s="135"/>
      <c r="Z105" s="136"/>
    </row>
    <row r="106" spans="1:26" ht="15.75">
      <c r="A106" s="44" t="s">
        <v>433</v>
      </c>
      <c r="B106" s="45"/>
      <c r="C106" s="27">
        <v>1.59</v>
      </c>
      <c r="D106" s="21">
        <f t="shared" si="3"/>
        <v>31.8</v>
      </c>
      <c r="E106" s="54"/>
      <c r="F106" s="30" t="s">
        <v>434</v>
      </c>
      <c r="G106" s="31"/>
      <c r="H106" s="31"/>
      <c r="I106" s="31"/>
      <c r="J106" s="19">
        <v>120</v>
      </c>
      <c r="K106" s="54"/>
      <c r="L106" s="10" t="s">
        <v>435</v>
      </c>
      <c r="M106" s="11"/>
      <c r="N106" s="11"/>
      <c r="O106" s="11"/>
      <c r="P106" s="12"/>
      <c r="Q106" s="54"/>
      <c r="R106" s="30" t="s">
        <v>436</v>
      </c>
      <c r="S106" s="31"/>
      <c r="T106" s="20">
        <v>2.52</v>
      </c>
      <c r="U106" s="19">
        <f t="shared" si="9"/>
        <v>50.4</v>
      </c>
      <c r="V106" s="54"/>
      <c r="W106" s="134"/>
      <c r="X106" s="135"/>
      <c r="Y106" s="135"/>
      <c r="Z106" s="136"/>
    </row>
    <row r="107" spans="1:26">
      <c r="A107" s="30" t="s">
        <v>437</v>
      </c>
      <c r="B107" s="31"/>
      <c r="C107" s="20">
        <v>2.25</v>
      </c>
      <c r="D107" s="19">
        <f t="shared" si="3"/>
        <v>45</v>
      </c>
      <c r="E107" s="54"/>
      <c r="F107" s="44" t="s">
        <v>438</v>
      </c>
      <c r="G107" s="45"/>
      <c r="H107" s="45"/>
      <c r="I107" s="45"/>
      <c r="J107" s="21">
        <v>200</v>
      </c>
      <c r="K107" s="54"/>
      <c r="L107" s="15" t="s">
        <v>7</v>
      </c>
      <c r="M107" s="16"/>
      <c r="N107" s="16"/>
      <c r="O107" s="18" t="s">
        <v>8</v>
      </c>
      <c r="P107" s="59" t="s">
        <v>198</v>
      </c>
      <c r="Q107" s="54"/>
      <c r="R107" s="132" t="s">
        <v>439</v>
      </c>
      <c r="S107" s="133"/>
      <c r="T107" s="27">
        <v>15.98</v>
      </c>
      <c r="U107" s="21">
        <f t="shared" si="9"/>
        <v>319.60000000000002</v>
      </c>
      <c r="V107" s="54"/>
      <c r="W107" s="134"/>
      <c r="X107" s="135"/>
      <c r="Y107" s="135"/>
      <c r="Z107" s="136"/>
    </row>
    <row r="108" spans="1:26" ht="15" thickBot="1">
      <c r="A108" s="44" t="s">
        <v>440</v>
      </c>
      <c r="B108" s="45"/>
      <c r="C108" s="27" t="s">
        <v>441</v>
      </c>
      <c r="D108" s="93" t="s">
        <v>442</v>
      </c>
      <c r="E108" s="54"/>
      <c r="F108" s="30" t="s">
        <v>443</v>
      </c>
      <c r="G108" s="31"/>
      <c r="H108" s="31"/>
      <c r="I108" s="31"/>
      <c r="J108" s="19">
        <v>35</v>
      </c>
      <c r="K108" s="54"/>
      <c r="L108" s="108" t="s">
        <v>444</v>
      </c>
      <c r="M108" s="109"/>
      <c r="N108" s="109"/>
      <c r="O108" s="20">
        <v>95</v>
      </c>
      <c r="P108" s="19">
        <f t="shared" ref="P108:P150" si="10">O108*20</f>
        <v>1900</v>
      </c>
      <c r="Q108" s="54"/>
      <c r="R108" s="30" t="s">
        <v>445</v>
      </c>
      <c r="S108" s="31"/>
      <c r="T108" s="20">
        <v>6.9</v>
      </c>
      <c r="U108" s="19">
        <f t="shared" si="9"/>
        <v>138</v>
      </c>
      <c r="V108" s="54"/>
      <c r="W108" s="137"/>
      <c r="X108" s="138"/>
      <c r="Y108" s="138"/>
      <c r="Z108" s="139"/>
    </row>
    <row r="109" spans="1:26">
      <c r="A109" s="30" t="s">
        <v>446</v>
      </c>
      <c r="B109" s="31"/>
      <c r="C109" s="20">
        <v>3.95</v>
      </c>
      <c r="D109" s="19">
        <f t="shared" si="3"/>
        <v>79</v>
      </c>
      <c r="E109" s="54"/>
      <c r="F109" s="15" t="s">
        <v>447</v>
      </c>
      <c r="G109" s="16"/>
      <c r="H109" s="16"/>
      <c r="I109" s="18" t="s">
        <v>8</v>
      </c>
      <c r="J109" s="59" t="s">
        <v>198</v>
      </c>
      <c r="K109" s="54"/>
      <c r="L109" s="32" t="s">
        <v>448</v>
      </c>
      <c r="M109" s="33"/>
      <c r="N109" s="33"/>
      <c r="O109" s="27">
        <v>1020</v>
      </c>
      <c r="P109" s="21">
        <f t="shared" si="10"/>
        <v>20400</v>
      </c>
      <c r="Q109" s="54"/>
      <c r="R109" s="44" t="s">
        <v>449</v>
      </c>
      <c r="S109" s="45"/>
      <c r="T109" s="27">
        <v>0.95</v>
      </c>
      <c r="U109" s="21">
        <f t="shared" si="9"/>
        <v>19</v>
      </c>
      <c r="V109" s="54"/>
      <c r="W109" s="53"/>
      <c r="X109" s="53"/>
      <c r="Y109" s="53"/>
      <c r="Z109" s="53"/>
    </row>
    <row r="110" spans="1:26" ht="15" thickBot="1">
      <c r="A110" s="32" t="s">
        <v>450</v>
      </c>
      <c r="B110" s="33"/>
      <c r="C110" s="27">
        <v>39.75</v>
      </c>
      <c r="D110" s="21">
        <f t="shared" si="3"/>
        <v>795</v>
      </c>
      <c r="E110" s="54"/>
      <c r="F110" s="44" t="s">
        <v>451</v>
      </c>
      <c r="G110" s="45"/>
      <c r="H110" s="45"/>
      <c r="I110" s="27" t="s">
        <v>365</v>
      </c>
      <c r="J110" s="21" t="s">
        <v>452</v>
      </c>
      <c r="K110" s="54"/>
      <c r="L110" s="108" t="s">
        <v>453</v>
      </c>
      <c r="M110" s="109"/>
      <c r="N110" s="109"/>
      <c r="O110" s="20">
        <v>2240</v>
      </c>
      <c r="P110" s="19">
        <f t="shared" si="10"/>
        <v>44800</v>
      </c>
      <c r="Q110" s="54"/>
      <c r="R110" s="50" t="s">
        <v>454</v>
      </c>
      <c r="S110" s="51"/>
      <c r="T110" s="28">
        <v>14.9</v>
      </c>
      <c r="U110" s="26">
        <f t="shared" si="9"/>
        <v>298</v>
      </c>
      <c r="V110" s="54"/>
      <c r="W110" s="53"/>
      <c r="X110" s="53"/>
      <c r="Y110" s="53"/>
      <c r="Z110" s="53"/>
    </row>
    <row r="111" spans="1:26" ht="15" thickBot="1">
      <c r="A111" s="30" t="s">
        <v>455</v>
      </c>
      <c r="B111" s="31"/>
      <c r="C111" s="20">
        <v>198</v>
      </c>
      <c r="D111" s="19">
        <f t="shared" si="3"/>
        <v>3960</v>
      </c>
      <c r="E111" s="54"/>
      <c r="F111" s="30" t="s">
        <v>456</v>
      </c>
      <c r="G111" s="31"/>
      <c r="H111" s="31"/>
      <c r="I111" s="20">
        <v>0.1</v>
      </c>
      <c r="J111" s="19">
        <f t="shared" ref="J111:J112" si="11">I111*20</f>
        <v>2</v>
      </c>
      <c r="K111" s="54"/>
      <c r="L111" s="32" t="s">
        <v>457</v>
      </c>
      <c r="M111" s="33"/>
      <c r="N111" s="33"/>
      <c r="O111" s="27">
        <v>695</v>
      </c>
      <c r="P111" s="21">
        <f t="shared" si="10"/>
        <v>13900</v>
      </c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6.5" thickBot="1">
      <c r="A112" s="44" t="s">
        <v>458</v>
      </c>
      <c r="B112" s="45"/>
      <c r="C112" s="27">
        <v>3.98</v>
      </c>
      <c r="D112" s="21">
        <f t="shared" si="3"/>
        <v>79.599999999999994</v>
      </c>
      <c r="E112" s="54"/>
      <c r="F112" s="40" t="s">
        <v>459</v>
      </c>
      <c r="G112" s="41"/>
      <c r="H112" s="41"/>
      <c r="I112" s="68">
        <v>0.05</v>
      </c>
      <c r="J112" s="34">
        <f t="shared" si="11"/>
        <v>1</v>
      </c>
      <c r="K112" s="54"/>
      <c r="L112" s="108" t="s">
        <v>460</v>
      </c>
      <c r="M112" s="109"/>
      <c r="N112" s="109"/>
      <c r="O112" s="20">
        <v>1045</v>
      </c>
      <c r="P112" s="19">
        <f t="shared" si="10"/>
        <v>20900</v>
      </c>
      <c r="Q112" s="54"/>
      <c r="R112" s="10" t="s">
        <v>461</v>
      </c>
      <c r="S112" s="11"/>
      <c r="T112" s="11"/>
      <c r="U112" s="12"/>
      <c r="V112" s="54"/>
      <c r="W112" s="54"/>
      <c r="X112" s="54"/>
      <c r="Y112" s="54"/>
      <c r="Z112" s="54"/>
    </row>
    <row r="113" spans="1:26" ht="15" thickBot="1">
      <c r="A113" s="30" t="s">
        <v>462</v>
      </c>
      <c r="B113" s="31"/>
      <c r="C113" s="20">
        <v>8.98</v>
      </c>
      <c r="D113" s="19">
        <f t="shared" si="3"/>
        <v>179.60000000000002</v>
      </c>
      <c r="E113" s="54"/>
      <c r="F113" s="54"/>
      <c r="G113" s="54"/>
      <c r="H113" s="54"/>
      <c r="I113" s="54"/>
      <c r="J113" s="54"/>
      <c r="K113" s="54"/>
      <c r="L113" s="32" t="s">
        <v>463</v>
      </c>
      <c r="M113" s="33"/>
      <c r="N113" s="33"/>
      <c r="O113" s="27">
        <v>985</v>
      </c>
      <c r="P113" s="21">
        <f t="shared" si="10"/>
        <v>19700</v>
      </c>
      <c r="Q113" s="54"/>
      <c r="R113" s="15" t="s">
        <v>7</v>
      </c>
      <c r="S113" s="16"/>
      <c r="T113" s="18" t="s">
        <v>8</v>
      </c>
      <c r="U113" s="59" t="s">
        <v>198</v>
      </c>
      <c r="V113" s="54"/>
      <c r="W113" s="54"/>
      <c r="X113" s="54"/>
      <c r="Y113" s="54"/>
      <c r="Z113" s="54"/>
    </row>
    <row r="114" spans="1:26" ht="15.75">
      <c r="A114" s="44" t="s">
        <v>464</v>
      </c>
      <c r="B114" s="45"/>
      <c r="C114" s="27">
        <v>4.9800000000000004</v>
      </c>
      <c r="D114" s="21">
        <f t="shared" si="3"/>
        <v>99.600000000000009</v>
      </c>
      <c r="E114" s="54"/>
      <c r="F114" s="10" t="s">
        <v>465</v>
      </c>
      <c r="G114" s="11"/>
      <c r="H114" s="11"/>
      <c r="I114" s="11"/>
      <c r="J114" s="12"/>
      <c r="K114" s="54"/>
      <c r="L114" s="108" t="s">
        <v>466</v>
      </c>
      <c r="M114" s="109"/>
      <c r="N114" s="109"/>
      <c r="O114" s="20">
        <v>20000</v>
      </c>
      <c r="P114" s="19">
        <f t="shared" si="10"/>
        <v>400000</v>
      </c>
      <c r="Q114" s="54"/>
      <c r="R114" s="30" t="s">
        <v>467</v>
      </c>
      <c r="S114" s="31"/>
      <c r="T114" s="20">
        <v>3.35</v>
      </c>
      <c r="U114" s="19">
        <f t="shared" ref="U114:U147" si="12">T114*20</f>
        <v>67</v>
      </c>
      <c r="V114" s="54"/>
      <c r="W114" s="54"/>
      <c r="X114" s="54"/>
      <c r="Y114" s="54"/>
      <c r="Z114" s="54"/>
    </row>
    <row r="115" spans="1:26" ht="15" thickBot="1">
      <c r="A115" s="50" t="s">
        <v>468</v>
      </c>
      <c r="B115" s="51"/>
      <c r="C115" s="28">
        <v>0.98</v>
      </c>
      <c r="D115" s="26">
        <f t="shared" si="3"/>
        <v>19.600000000000001</v>
      </c>
      <c r="E115" s="54"/>
      <c r="F115" s="15" t="s">
        <v>7</v>
      </c>
      <c r="G115" s="16"/>
      <c r="H115" s="16"/>
      <c r="I115" s="18" t="s">
        <v>8</v>
      </c>
      <c r="J115" s="59" t="s">
        <v>198</v>
      </c>
      <c r="K115" s="54"/>
      <c r="L115" s="32" t="s">
        <v>469</v>
      </c>
      <c r="M115" s="33"/>
      <c r="N115" s="33"/>
      <c r="O115" s="27">
        <v>360</v>
      </c>
      <c r="P115" s="21">
        <f t="shared" si="10"/>
        <v>7200</v>
      </c>
      <c r="Q115" s="54"/>
      <c r="R115" s="44" t="s">
        <v>470</v>
      </c>
      <c r="S115" s="45"/>
      <c r="T115" s="27">
        <v>0.28000000000000003</v>
      </c>
      <c r="U115" s="21">
        <f t="shared" si="12"/>
        <v>5.6000000000000005</v>
      </c>
      <c r="V115" s="54"/>
      <c r="W115" s="54"/>
      <c r="X115" s="54"/>
      <c r="Y115" s="54"/>
      <c r="Z115" s="54"/>
    </row>
    <row r="116" spans="1:26" ht="15" thickBot="1">
      <c r="A116" s="54"/>
      <c r="B116" s="54"/>
      <c r="C116" s="54"/>
      <c r="D116" s="54"/>
      <c r="E116" s="54"/>
      <c r="F116" s="32" t="s">
        <v>471</v>
      </c>
      <c r="G116" s="33"/>
      <c r="H116" s="33"/>
      <c r="I116" s="27" t="s">
        <v>163</v>
      </c>
      <c r="J116" s="21" t="s">
        <v>472</v>
      </c>
      <c r="K116" s="54"/>
      <c r="L116" s="108" t="s">
        <v>473</v>
      </c>
      <c r="M116" s="109"/>
      <c r="N116" s="109"/>
      <c r="O116" s="20">
        <v>450</v>
      </c>
      <c r="P116" s="19">
        <f t="shared" si="10"/>
        <v>9000</v>
      </c>
      <c r="Q116" s="54"/>
      <c r="R116" s="30" t="s">
        <v>474</v>
      </c>
      <c r="S116" s="31"/>
      <c r="T116" s="20">
        <v>0.3</v>
      </c>
      <c r="U116" s="19">
        <f t="shared" si="12"/>
        <v>6</v>
      </c>
      <c r="V116" s="54"/>
      <c r="W116" s="54"/>
      <c r="X116" s="54"/>
      <c r="Y116" s="54"/>
      <c r="Z116" s="54"/>
    </row>
    <row r="117" spans="1:26" ht="15.75">
      <c r="A117" s="10" t="s">
        <v>475</v>
      </c>
      <c r="B117" s="11"/>
      <c r="C117" s="11"/>
      <c r="D117" s="12"/>
      <c r="E117" s="105"/>
      <c r="F117" s="30" t="s">
        <v>476</v>
      </c>
      <c r="G117" s="31"/>
      <c r="H117" s="31"/>
      <c r="I117" s="20" t="s">
        <v>477</v>
      </c>
      <c r="J117" s="19" t="s">
        <v>478</v>
      </c>
      <c r="K117" s="54"/>
      <c r="L117" s="32" t="s">
        <v>479</v>
      </c>
      <c r="M117" s="33"/>
      <c r="N117" s="33"/>
      <c r="O117" s="27">
        <v>1750</v>
      </c>
      <c r="P117" s="21">
        <f t="shared" si="10"/>
        <v>35000</v>
      </c>
      <c r="Q117" s="54"/>
      <c r="R117" s="44" t="s">
        <v>480</v>
      </c>
      <c r="S117" s="45"/>
      <c r="T117" s="27">
        <v>39.950000000000003</v>
      </c>
      <c r="U117" s="21">
        <f t="shared" si="12"/>
        <v>799</v>
      </c>
      <c r="V117" s="54"/>
      <c r="W117" s="54"/>
      <c r="X117" s="54"/>
      <c r="Y117" s="54"/>
      <c r="Z117" s="54"/>
    </row>
    <row r="118" spans="1:26">
      <c r="A118" s="15" t="s">
        <v>7</v>
      </c>
      <c r="B118" s="16"/>
      <c r="C118" s="18" t="s">
        <v>8</v>
      </c>
      <c r="D118" s="17" t="s">
        <v>198</v>
      </c>
      <c r="E118" s="105"/>
      <c r="F118" s="44" t="s">
        <v>481</v>
      </c>
      <c r="G118" s="45"/>
      <c r="H118" s="45"/>
      <c r="I118" s="106" t="s">
        <v>482</v>
      </c>
      <c r="J118" s="93" t="s">
        <v>483</v>
      </c>
      <c r="K118" s="54"/>
      <c r="L118" s="108" t="s">
        <v>484</v>
      </c>
      <c r="M118" s="109"/>
      <c r="N118" s="109"/>
      <c r="O118" s="20">
        <v>1345</v>
      </c>
      <c r="P118" s="19">
        <f t="shared" si="10"/>
        <v>26900</v>
      </c>
      <c r="Q118" s="54"/>
      <c r="R118" s="30" t="s">
        <v>485</v>
      </c>
      <c r="S118" s="31"/>
      <c r="T118" s="20">
        <v>129.94999999999999</v>
      </c>
      <c r="U118" s="19" t="s">
        <v>486</v>
      </c>
      <c r="V118" s="54"/>
      <c r="W118" s="54"/>
      <c r="X118" s="54"/>
      <c r="Y118" s="54"/>
      <c r="Z118" s="54"/>
    </row>
    <row r="119" spans="1:26">
      <c r="A119" s="30" t="s">
        <v>487</v>
      </c>
      <c r="B119" s="31"/>
      <c r="C119" s="20">
        <v>1.79</v>
      </c>
      <c r="D119" s="19">
        <f>C119*20</f>
        <v>35.799999999999997</v>
      </c>
      <c r="E119" s="105"/>
      <c r="F119" s="30" t="s">
        <v>488</v>
      </c>
      <c r="G119" s="31"/>
      <c r="H119" s="31"/>
      <c r="I119" s="20" t="s">
        <v>489</v>
      </c>
      <c r="J119" s="19" t="s">
        <v>490</v>
      </c>
      <c r="K119" s="54"/>
      <c r="L119" s="32" t="s">
        <v>491</v>
      </c>
      <c r="M119" s="33"/>
      <c r="N119" s="33"/>
      <c r="O119" s="27">
        <v>2950</v>
      </c>
      <c r="P119" s="21">
        <f t="shared" si="10"/>
        <v>59000</v>
      </c>
      <c r="Q119" s="54"/>
      <c r="R119" s="44" t="s">
        <v>492</v>
      </c>
      <c r="S119" s="45"/>
      <c r="T119" s="27">
        <v>5.95</v>
      </c>
      <c r="U119" s="21">
        <f t="shared" si="12"/>
        <v>119</v>
      </c>
      <c r="V119" s="54"/>
      <c r="W119" s="54"/>
      <c r="X119" s="54"/>
      <c r="Y119" s="54"/>
      <c r="Z119" s="54"/>
    </row>
    <row r="120" spans="1:26">
      <c r="A120" s="44" t="s">
        <v>493</v>
      </c>
      <c r="B120" s="45"/>
      <c r="C120" s="27">
        <v>2.98</v>
      </c>
      <c r="D120" s="21">
        <f>C120*20</f>
        <v>59.6</v>
      </c>
      <c r="E120" s="105"/>
      <c r="F120" s="44" t="s">
        <v>494</v>
      </c>
      <c r="G120" s="45"/>
      <c r="H120" s="45"/>
      <c r="I120" s="27">
        <v>3100</v>
      </c>
      <c r="J120" s="21">
        <f t="shared" ref="J120:J125" si="13">I120*20</f>
        <v>62000</v>
      </c>
      <c r="K120" s="54"/>
      <c r="L120" s="108" t="s">
        <v>495</v>
      </c>
      <c r="M120" s="109"/>
      <c r="N120" s="109"/>
      <c r="O120" s="20">
        <v>6000</v>
      </c>
      <c r="P120" s="19">
        <f t="shared" si="10"/>
        <v>120000</v>
      </c>
      <c r="Q120" s="54"/>
      <c r="R120" s="30" t="s">
        <v>496</v>
      </c>
      <c r="S120" s="31"/>
      <c r="T120" s="20">
        <v>35.1</v>
      </c>
      <c r="U120" s="19">
        <f t="shared" si="12"/>
        <v>702</v>
      </c>
      <c r="V120" s="54"/>
      <c r="W120" s="54"/>
      <c r="X120" s="54"/>
      <c r="Y120" s="54"/>
      <c r="Z120" s="54"/>
    </row>
    <row r="121" spans="1:26" ht="15.75">
      <c r="A121" s="89" t="s">
        <v>497</v>
      </c>
      <c r="B121" s="90"/>
      <c r="C121" s="90"/>
      <c r="D121" s="91"/>
      <c r="E121" s="105"/>
      <c r="F121" s="89" t="s">
        <v>498</v>
      </c>
      <c r="G121" s="90"/>
      <c r="H121" s="90"/>
      <c r="I121" s="90"/>
      <c r="J121" s="91"/>
      <c r="K121" s="54"/>
      <c r="L121" s="32" t="s">
        <v>499</v>
      </c>
      <c r="M121" s="33"/>
      <c r="N121" s="33"/>
      <c r="O121" s="27">
        <v>745</v>
      </c>
      <c r="P121" s="21">
        <f t="shared" si="10"/>
        <v>14900</v>
      </c>
      <c r="Q121" s="54"/>
      <c r="R121" s="44" t="s">
        <v>500</v>
      </c>
      <c r="S121" s="45"/>
      <c r="T121" s="27">
        <v>1.8</v>
      </c>
      <c r="U121" s="21">
        <f t="shared" si="12"/>
        <v>36</v>
      </c>
      <c r="V121" s="54"/>
      <c r="W121" s="54"/>
      <c r="X121" s="54"/>
      <c r="Y121" s="54"/>
      <c r="Z121" s="54"/>
    </row>
    <row r="122" spans="1:26">
      <c r="A122" s="30" t="s">
        <v>487</v>
      </c>
      <c r="B122" s="31"/>
      <c r="C122" s="20">
        <v>1.79</v>
      </c>
      <c r="D122" s="19">
        <f t="shared" ref="D122:D130" si="14">C122*20</f>
        <v>35.799999999999997</v>
      </c>
      <c r="E122" s="105"/>
      <c r="F122" s="44" t="s">
        <v>501</v>
      </c>
      <c r="G122" s="45"/>
      <c r="H122" s="45"/>
      <c r="I122" s="27">
        <v>1175</v>
      </c>
      <c r="J122" s="21">
        <f t="shared" si="13"/>
        <v>23500</v>
      </c>
      <c r="K122" s="54"/>
      <c r="L122" s="108" t="s">
        <v>502</v>
      </c>
      <c r="M122" s="109"/>
      <c r="N122" s="109"/>
      <c r="O122" s="20">
        <v>995</v>
      </c>
      <c r="P122" s="19">
        <f t="shared" si="10"/>
        <v>19900</v>
      </c>
      <c r="Q122" s="54"/>
      <c r="R122" s="30" t="s">
        <v>503</v>
      </c>
      <c r="S122" s="31"/>
      <c r="T122" s="20">
        <v>0.85</v>
      </c>
      <c r="U122" s="19">
        <f t="shared" si="12"/>
        <v>17</v>
      </c>
      <c r="V122" s="54"/>
      <c r="W122" s="54"/>
      <c r="X122" s="54"/>
      <c r="Y122" s="54"/>
      <c r="Z122" s="54"/>
    </row>
    <row r="123" spans="1:26">
      <c r="A123" s="44" t="s">
        <v>504</v>
      </c>
      <c r="B123" s="45"/>
      <c r="C123" s="27">
        <v>2.98</v>
      </c>
      <c r="D123" s="21">
        <f t="shared" si="14"/>
        <v>59.6</v>
      </c>
      <c r="E123" s="105"/>
      <c r="F123" s="30" t="s">
        <v>505</v>
      </c>
      <c r="G123" s="31"/>
      <c r="H123" s="31"/>
      <c r="I123" s="20">
        <v>2135</v>
      </c>
      <c r="J123" s="19">
        <f t="shared" si="13"/>
        <v>42700</v>
      </c>
      <c r="K123" s="54"/>
      <c r="L123" s="32" t="s">
        <v>506</v>
      </c>
      <c r="M123" s="33"/>
      <c r="N123" s="33"/>
      <c r="O123" s="27">
        <v>570</v>
      </c>
      <c r="P123" s="21">
        <f t="shared" si="10"/>
        <v>11400</v>
      </c>
      <c r="Q123" s="54"/>
      <c r="R123" s="44" t="s">
        <v>507</v>
      </c>
      <c r="S123" s="45"/>
      <c r="T123" s="27">
        <v>0.2</v>
      </c>
      <c r="U123" s="21">
        <f t="shared" si="12"/>
        <v>4</v>
      </c>
      <c r="V123" s="54"/>
      <c r="W123" s="54"/>
      <c r="X123" s="54"/>
      <c r="Y123" s="54"/>
      <c r="Z123" s="54"/>
    </row>
    <row r="124" spans="1:26">
      <c r="A124" s="30" t="s">
        <v>508</v>
      </c>
      <c r="B124" s="31"/>
      <c r="C124" s="20">
        <v>2.98</v>
      </c>
      <c r="D124" s="19">
        <f t="shared" si="14"/>
        <v>59.6</v>
      </c>
      <c r="E124" s="105"/>
      <c r="F124" s="44" t="s">
        <v>509</v>
      </c>
      <c r="G124" s="45"/>
      <c r="H124" s="45"/>
      <c r="I124" s="27">
        <v>3278</v>
      </c>
      <c r="J124" s="21">
        <f t="shared" si="13"/>
        <v>65560</v>
      </c>
      <c r="K124" s="54"/>
      <c r="L124" s="108" t="s">
        <v>510</v>
      </c>
      <c r="M124" s="109"/>
      <c r="N124" s="109"/>
      <c r="O124" s="20">
        <v>1450</v>
      </c>
      <c r="P124" s="19">
        <f t="shared" si="10"/>
        <v>29000</v>
      </c>
      <c r="Q124" s="54"/>
      <c r="R124" s="30" t="s">
        <v>511</v>
      </c>
      <c r="S124" s="31"/>
      <c r="T124" s="20">
        <v>9.5</v>
      </c>
      <c r="U124" s="19">
        <f t="shared" si="12"/>
        <v>190</v>
      </c>
      <c r="V124" s="54"/>
      <c r="W124" s="54"/>
      <c r="X124" s="54"/>
      <c r="Y124" s="54"/>
      <c r="Z124" s="54"/>
    </row>
    <row r="125" spans="1:26" ht="15" thickBot="1">
      <c r="A125" s="44" t="s">
        <v>512</v>
      </c>
      <c r="B125" s="45"/>
      <c r="C125" s="27">
        <v>0.98</v>
      </c>
      <c r="D125" s="21">
        <f t="shared" si="14"/>
        <v>19.600000000000001</v>
      </c>
      <c r="E125" s="54"/>
      <c r="F125" s="50" t="s">
        <v>513</v>
      </c>
      <c r="G125" s="51"/>
      <c r="H125" s="51"/>
      <c r="I125" s="28">
        <v>4492</v>
      </c>
      <c r="J125" s="26">
        <f t="shared" si="13"/>
        <v>89840</v>
      </c>
      <c r="K125" s="54"/>
      <c r="L125" s="32" t="s">
        <v>514</v>
      </c>
      <c r="M125" s="33"/>
      <c r="N125" s="33"/>
      <c r="O125" s="27">
        <v>995</v>
      </c>
      <c r="P125" s="21">
        <f t="shared" si="10"/>
        <v>19900</v>
      </c>
      <c r="Q125" s="54"/>
      <c r="R125" s="44" t="s">
        <v>515</v>
      </c>
      <c r="S125" s="45"/>
      <c r="T125" s="27">
        <v>0.25</v>
      </c>
      <c r="U125" s="21">
        <f t="shared" si="12"/>
        <v>5</v>
      </c>
      <c r="V125" s="54"/>
      <c r="W125" s="54"/>
      <c r="X125" s="54"/>
      <c r="Y125" s="54"/>
      <c r="Z125" s="54"/>
    </row>
    <row r="126" spans="1:26" ht="15" thickBot="1">
      <c r="A126" s="30" t="s">
        <v>516</v>
      </c>
      <c r="B126" s="31"/>
      <c r="C126" s="20">
        <v>2.59</v>
      </c>
      <c r="D126" s="19">
        <f t="shared" si="14"/>
        <v>51.8</v>
      </c>
      <c r="E126" s="54"/>
      <c r="F126" s="54"/>
      <c r="G126" s="54"/>
      <c r="H126" s="54"/>
      <c r="I126" s="54"/>
      <c r="J126" s="54"/>
      <c r="K126" s="54"/>
      <c r="L126" s="108" t="s">
        <v>517</v>
      </c>
      <c r="M126" s="109"/>
      <c r="N126" s="109"/>
      <c r="O126" s="20">
        <v>300</v>
      </c>
      <c r="P126" s="19">
        <f t="shared" si="10"/>
        <v>6000</v>
      </c>
      <c r="Q126" s="54"/>
      <c r="R126" s="30" t="s">
        <v>518</v>
      </c>
      <c r="S126" s="31"/>
      <c r="T126" s="20">
        <v>1200</v>
      </c>
      <c r="U126" s="19">
        <f t="shared" si="12"/>
        <v>24000</v>
      </c>
      <c r="V126" s="54"/>
      <c r="W126" s="54"/>
      <c r="X126" s="54"/>
      <c r="Y126" s="54"/>
      <c r="Z126" s="54"/>
    </row>
    <row r="127" spans="1:26" ht="15.75">
      <c r="A127" s="44" t="s">
        <v>345</v>
      </c>
      <c r="B127" s="45"/>
      <c r="C127" s="27">
        <v>4.95</v>
      </c>
      <c r="D127" s="21">
        <f t="shared" si="14"/>
        <v>99</v>
      </c>
      <c r="E127" s="54"/>
      <c r="F127" s="10" t="s">
        <v>127</v>
      </c>
      <c r="G127" s="11"/>
      <c r="H127" s="11"/>
      <c r="I127" s="11"/>
      <c r="J127" s="12"/>
      <c r="K127" s="54"/>
      <c r="L127" s="32" t="s">
        <v>519</v>
      </c>
      <c r="M127" s="33"/>
      <c r="N127" s="33"/>
      <c r="O127" s="27">
        <v>75</v>
      </c>
      <c r="P127" s="21">
        <f t="shared" si="10"/>
        <v>1500</v>
      </c>
      <c r="Q127" s="54"/>
      <c r="R127" s="44" t="s">
        <v>520</v>
      </c>
      <c r="S127" s="45"/>
      <c r="T127" s="27">
        <v>40</v>
      </c>
      <c r="U127" s="21" t="s">
        <v>486</v>
      </c>
      <c r="V127" s="54"/>
      <c r="W127" s="54"/>
      <c r="X127" s="54"/>
      <c r="Y127" s="54"/>
      <c r="Z127" s="54"/>
    </row>
    <row r="128" spans="1:26">
      <c r="A128" s="30" t="s">
        <v>521</v>
      </c>
      <c r="B128" s="31"/>
      <c r="C128" s="20">
        <v>0.4</v>
      </c>
      <c r="D128" s="19">
        <f t="shared" si="14"/>
        <v>8</v>
      </c>
      <c r="E128" s="54"/>
      <c r="F128" s="15" t="s">
        <v>522</v>
      </c>
      <c r="G128" s="16"/>
      <c r="H128" s="16"/>
      <c r="I128" s="18" t="s">
        <v>8</v>
      </c>
      <c r="J128" s="59" t="s">
        <v>198</v>
      </c>
      <c r="K128" s="54"/>
      <c r="L128" s="108" t="s">
        <v>523</v>
      </c>
      <c r="M128" s="109"/>
      <c r="N128" s="109"/>
      <c r="O128" s="20">
        <v>545</v>
      </c>
      <c r="P128" s="19">
        <f t="shared" si="10"/>
        <v>10900</v>
      </c>
      <c r="Q128" s="54"/>
      <c r="R128" s="30" t="s">
        <v>524</v>
      </c>
      <c r="S128" s="31"/>
      <c r="T128" s="20">
        <v>66.75</v>
      </c>
      <c r="U128" s="19" t="s">
        <v>486</v>
      </c>
      <c r="V128" s="54"/>
      <c r="W128" s="54"/>
      <c r="X128" s="54"/>
      <c r="Y128" s="54"/>
      <c r="Z128" s="54"/>
    </row>
    <row r="129" spans="1:26">
      <c r="A129" s="44" t="s">
        <v>349</v>
      </c>
      <c r="B129" s="45"/>
      <c r="C129" s="27">
        <v>0.54</v>
      </c>
      <c r="D129" s="21">
        <f t="shared" si="14"/>
        <v>10.8</v>
      </c>
      <c r="E129" s="54"/>
      <c r="F129" s="30" t="s">
        <v>525</v>
      </c>
      <c r="G129" s="31"/>
      <c r="H129" s="31"/>
      <c r="I129" s="20">
        <v>4.45</v>
      </c>
      <c r="J129" s="19">
        <f t="shared" ref="J129:J142" si="15">I129*20</f>
        <v>89</v>
      </c>
      <c r="K129" s="54"/>
      <c r="L129" s="32" t="s">
        <v>526</v>
      </c>
      <c r="M129" s="33"/>
      <c r="N129" s="33"/>
      <c r="O129" s="27">
        <v>1085</v>
      </c>
      <c r="P129" s="21">
        <f t="shared" si="10"/>
        <v>21700</v>
      </c>
      <c r="Q129" s="54"/>
      <c r="R129" s="44" t="s">
        <v>527</v>
      </c>
      <c r="S129" s="45"/>
      <c r="T129" s="27">
        <v>0.57999999999999996</v>
      </c>
      <c r="U129" s="21">
        <f t="shared" si="12"/>
        <v>11.6</v>
      </c>
      <c r="V129" s="54"/>
      <c r="W129" s="54"/>
      <c r="X129" s="54"/>
      <c r="Y129" s="54"/>
      <c r="Z129" s="54"/>
    </row>
    <row r="130" spans="1:26" ht="15" thickBot="1">
      <c r="A130" s="140" t="s">
        <v>528</v>
      </c>
      <c r="B130" s="141"/>
      <c r="C130" s="28">
        <v>1.29</v>
      </c>
      <c r="D130" s="26">
        <f t="shared" si="14"/>
        <v>25.8</v>
      </c>
      <c r="E130" s="54"/>
      <c r="F130" s="44" t="s">
        <v>529</v>
      </c>
      <c r="G130" s="45"/>
      <c r="H130" s="45"/>
      <c r="I130" s="27">
        <v>10</v>
      </c>
      <c r="J130" s="21">
        <f t="shared" si="15"/>
        <v>200</v>
      </c>
      <c r="K130" s="54"/>
      <c r="L130" s="108" t="s">
        <v>530</v>
      </c>
      <c r="M130" s="109"/>
      <c r="N130" s="109"/>
      <c r="O130" s="20">
        <v>490</v>
      </c>
      <c r="P130" s="19">
        <f t="shared" si="10"/>
        <v>9800</v>
      </c>
      <c r="Q130" s="54"/>
      <c r="R130" s="30" t="s">
        <v>531</v>
      </c>
      <c r="S130" s="31"/>
      <c r="T130" s="20">
        <v>17.5</v>
      </c>
      <c r="U130" s="19">
        <f t="shared" si="12"/>
        <v>350</v>
      </c>
      <c r="V130" s="54"/>
      <c r="W130" s="54"/>
      <c r="X130" s="54"/>
      <c r="Y130" s="54"/>
      <c r="Z130" s="54"/>
    </row>
    <row r="131" spans="1:26" ht="15" thickBot="1">
      <c r="A131" s="54"/>
      <c r="B131" s="54"/>
      <c r="C131" s="54"/>
      <c r="D131" s="54"/>
      <c r="E131" s="54"/>
      <c r="F131" s="30" t="s">
        <v>532</v>
      </c>
      <c r="G131" s="31"/>
      <c r="H131" s="31"/>
      <c r="I131" s="20">
        <v>0.75</v>
      </c>
      <c r="J131" s="19">
        <f t="shared" si="15"/>
        <v>15</v>
      </c>
      <c r="K131" s="54"/>
      <c r="L131" s="32" t="s">
        <v>533</v>
      </c>
      <c r="M131" s="33"/>
      <c r="N131" s="33"/>
      <c r="O131" s="27">
        <v>9000</v>
      </c>
      <c r="P131" s="21">
        <f t="shared" si="10"/>
        <v>180000</v>
      </c>
      <c r="Q131" s="54"/>
      <c r="R131" s="70" t="s">
        <v>534</v>
      </c>
      <c r="S131" s="71"/>
      <c r="T131" s="27">
        <v>62.5</v>
      </c>
      <c r="U131" s="21">
        <f t="shared" si="12"/>
        <v>1250</v>
      </c>
      <c r="V131" s="54"/>
      <c r="W131" s="54"/>
      <c r="X131" s="54"/>
      <c r="Y131" s="54"/>
      <c r="Z131" s="54"/>
    </row>
    <row r="132" spans="1:26" ht="15.75">
      <c r="A132" s="10" t="s">
        <v>101</v>
      </c>
      <c r="B132" s="11"/>
      <c r="C132" s="11"/>
      <c r="D132" s="12"/>
      <c r="E132" s="54"/>
      <c r="F132" s="44" t="s">
        <v>153</v>
      </c>
      <c r="G132" s="45"/>
      <c r="H132" s="45"/>
      <c r="I132" s="27">
        <v>9</v>
      </c>
      <c r="J132" s="21">
        <f t="shared" si="15"/>
        <v>180</v>
      </c>
      <c r="K132" s="54"/>
      <c r="L132" s="108" t="s">
        <v>535</v>
      </c>
      <c r="M132" s="109"/>
      <c r="N132" s="109"/>
      <c r="O132" s="20">
        <v>1225</v>
      </c>
      <c r="P132" s="19">
        <f t="shared" si="10"/>
        <v>24500</v>
      </c>
      <c r="Q132" s="54"/>
      <c r="R132" s="30" t="s">
        <v>536</v>
      </c>
      <c r="S132" s="31"/>
      <c r="T132" s="20">
        <v>1.79</v>
      </c>
      <c r="U132" s="19">
        <f t="shared" si="12"/>
        <v>35.799999999999997</v>
      </c>
      <c r="V132" s="54"/>
      <c r="W132" s="54"/>
      <c r="X132" s="54"/>
      <c r="Y132" s="54"/>
      <c r="Z132" s="54"/>
    </row>
    <row r="133" spans="1:26">
      <c r="A133" s="15" t="s">
        <v>7</v>
      </c>
      <c r="B133" s="16"/>
      <c r="C133" s="18" t="s">
        <v>8</v>
      </c>
      <c r="D133" s="17" t="s">
        <v>198</v>
      </c>
      <c r="E133" s="54"/>
      <c r="F133" s="30" t="s">
        <v>537</v>
      </c>
      <c r="G133" s="31"/>
      <c r="H133" s="31"/>
      <c r="I133" s="20">
        <v>24</v>
      </c>
      <c r="J133" s="19">
        <f t="shared" si="15"/>
        <v>480</v>
      </c>
      <c r="K133" s="54"/>
      <c r="L133" s="32" t="s">
        <v>538</v>
      </c>
      <c r="M133" s="33"/>
      <c r="N133" s="33"/>
      <c r="O133" s="27">
        <v>800</v>
      </c>
      <c r="P133" s="21">
        <f t="shared" si="10"/>
        <v>16000</v>
      </c>
      <c r="Q133" s="54"/>
      <c r="R133" s="44" t="s">
        <v>539</v>
      </c>
      <c r="S133" s="45"/>
      <c r="T133" s="27">
        <v>0.99</v>
      </c>
      <c r="U133" s="21">
        <f t="shared" si="12"/>
        <v>19.8</v>
      </c>
      <c r="V133" s="54"/>
      <c r="W133" s="54"/>
      <c r="X133" s="54"/>
      <c r="Y133" s="54"/>
      <c r="Z133" s="54"/>
    </row>
    <row r="134" spans="1:26">
      <c r="A134" s="69" t="s">
        <v>540</v>
      </c>
      <c r="B134" s="39"/>
      <c r="C134" s="20">
        <v>7.45</v>
      </c>
      <c r="D134" s="19">
        <f t="shared" ref="D134:D139" si="16">C134*20</f>
        <v>149</v>
      </c>
      <c r="E134" s="54"/>
      <c r="F134" s="44" t="s">
        <v>541</v>
      </c>
      <c r="G134" s="45"/>
      <c r="H134" s="45"/>
      <c r="I134" s="27" t="s">
        <v>542</v>
      </c>
      <c r="J134" s="21" t="s">
        <v>138</v>
      </c>
      <c r="K134" s="54"/>
      <c r="L134" s="80" t="s">
        <v>543</v>
      </c>
      <c r="M134" s="81"/>
      <c r="N134" s="81"/>
      <c r="O134" s="20">
        <v>4000</v>
      </c>
      <c r="P134" s="19">
        <f t="shared" si="10"/>
        <v>80000</v>
      </c>
      <c r="Q134" s="54"/>
      <c r="R134" s="30" t="s">
        <v>544</v>
      </c>
      <c r="S134" s="31"/>
      <c r="T134" s="20">
        <v>0.1</v>
      </c>
      <c r="U134" s="19">
        <f t="shared" si="12"/>
        <v>2</v>
      </c>
      <c r="V134" s="54"/>
      <c r="W134" s="54"/>
      <c r="X134" s="54"/>
      <c r="Y134" s="54"/>
      <c r="Z134" s="54"/>
    </row>
    <row r="135" spans="1:26">
      <c r="A135" s="74" t="s">
        <v>545</v>
      </c>
      <c r="B135" s="75"/>
      <c r="C135" s="27">
        <v>9.9499999999999993</v>
      </c>
      <c r="D135" s="21">
        <f t="shared" si="16"/>
        <v>199</v>
      </c>
      <c r="E135" s="54"/>
      <c r="F135" s="42" t="s">
        <v>546</v>
      </c>
      <c r="G135" s="43"/>
      <c r="H135" s="43"/>
      <c r="I135" s="20">
        <v>5</v>
      </c>
      <c r="J135" s="19">
        <f t="shared" si="15"/>
        <v>100</v>
      </c>
      <c r="K135" s="54"/>
      <c r="L135" s="32" t="s">
        <v>547</v>
      </c>
      <c r="M135" s="33"/>
      <c r="N135" s="33"/>
      <c r="O135" s="27">
        <v>4050</v>
      </c>
      <c r="P135" s="21">
        <f t="shared" si="10"/>
        <v>81000</v>
      </c>
      <c r="Q135" s="54"/>
      <c r="R135" s="44" t="s">
        <v>548</v>
      </c>
      <c r="S135" s="45"/>
      <c r="T135" s="27">
        <v>2.29</v>
      </c>
      <c r="U135" s="21">
        <f t="shared" si="12"/>
        <v>45.8</v>
      </c>
      <c r="V135" s="54"/>
      <c r="W135" s="54"/>
      <c r="X135" s="54"/>
      <c r="Y135" s="54"/>
      <c r="Z135" s="54"/>
    </row>
    <row r="136" spans="1:26" ht="15.75">
      <c r="A136" s="69" t="s">
        <v>549</v>
      </c>
      <c r="B136" s="39"/>
      <c r="C136" s="20">
        <v>12</v>
      </c>
      <c r="D136" s="19">
        <f t="shared" si="16"/>
        <v>240</v>
      </c>
      <c r="E136" s="54"/>
      <c r="F136" s="89" t="s">
        <v>550</v>
      </c>
      <c r="G136" s="90"/>
      <c r="H136" s="90"/>
      <c r="I136" s="90"/>
      <c r="J136" s="91"/>
      <c r="K136" s="54"/>
      <c r="L136" s="108" t="s">
        <v>551</v>
      </c>
      <c r="M136" s="109"/>
      <c r="N136" s="109"/>
      <c r="O136" s="20">
        <v>7750</v>
      </c>
      <c r="P136" s="19">
        <f t="shared" si="10"/>
        <v>155000</v>
      </c>
      <c r="Q136" s="54"/>
      <c r="R136" s="30" t="s">
        <v>552</v>
      </c>
      <c r="S136" s="31"/>
      <c r="T136" s="20">
        <v>6.75</v>
      </c>
      <c r="U136" s="19">
        <f t="shared" si="12"/>
        <v>135</v>
      </c>
      <c r="V136" s="54"/>
      <c r="W136" s="54"/>
      <c r="X136" s="54"/>
      <c r="Y136" s="54"/>
      <c r="Z136" s="54"/>
    </row>
    <row r="137" spans="1:26">
      <c r="A137" s="74" t="s">
        <v>553</v>
      </c>
      <c r="B137" s="75"/>
      <c r="C137" s="27">
        <v>54.95</v>
      </c>
      <c r="D137" s="21">
        <f t="shared" si="16"/>
        <v>1099</v>
      </c>
      <c r="E137" s="54"/>
      <c r="F137" s="30" t="s">
        <v>554</v>
      </c>
      <c r="G137" s="31"/>
      <c r="H137" s="31"/>
      <c r="I137" s="20">
        <v>1000</v>
      </c>
      <c r="J137" s="19">
        <f t="shared" si="15"/>
        <v>20000</v>
      </c>
      <c r="K137" s="54"/>
      <c r="L137" s="32" t="s">
        <v>555</v>
      </c>
      <c r="M137" s="33"/>
      <c r="N137" s="33"/>
      <c r="O137" s="27">
        <v>500</v>
      </c>
      <c r="P137" s="21">
        <f t="shared" si="10"/>
        <v>10000</v>
      </c>
      <c r="Q137" s="54"/>
      <c r="R137" s="44" t="s">
        <v>556</v>
      </c>
      <c r="S137" s="45"/>
      <c r="T137" s="27">
        <v>49</v>
      </c>
      <c r="U137" s="21">
        <f t="shared" si="12"/>
        <v>980</v>
      </c>
      <c r="V137" s="54"/>
      <c r="W137" s="54"/>
      <c r="X137" s="54"/>
      <c r="Y137" s="54"/>
      <c r="Z137" s="54"/>
    </row>
    <row r="138" spans="1:26">
      <c r="A138" s="69" t="s">
        <v>557</v>
      </c>
      <c r="B138" s="39"/>
      <c r="C138" s="20">
        <v>79.95</v>
      </c>
      <c r="D138" s="19">
        <f t="shared" si="16"/>
        <v>1599</v>
      </c>
      <c r="E138" s="54"/>
      <c r="F138" s="44" t="s">
        <v>558</v>
      </c>
      <c r="G138" s="45"/>
      <c r="H138" s="45"/>
      <c r="I138" s="27">
        <v>55</v>
      </c>
      <c r="J138" s="21">
        <f t="shared" si="15"/>
        <v>1100</v>
      </c>
      <c r="K138" s="54"/>
      <c r="L138" s="108" t="s">
        <v>559</v>
      </c>
      <c r="M138" s="109"/>
      <c r="N138" s="109"/>
      <c r="O138" s="20">
        <v>6750</v>
      </c>
      <c r="P138" s="19">
        <f t="shared" si="10"/>
        <v>135000</v>
      </c>
      <c r="Q138" s="54"/>
      <c r="R138" s="30" t="s">
        <v>560</v>
      </c>
      <c r="S138" s="31"/>
      <c r="T138" s="20">
        <v>1.95</v>
      </c>
      <c r="U138" s="19">
        <f t="shared" si="12"/>
        <v>39</v>
      </c>
      <c r="V138" s="54"/>
      <c r="W138" s="54"/>
      <c r="X138" s="54"/>
      <c r="Y138" s="54"/>
      <c r="Z138" s="54"/>
    </row>
    <row r="139" spans="1:26" ht="15" thickBot="1">
      <c r="A139" s="87" t="s">
        <v>561</v>
      </c>
      <c r="B139" s="88"/>
      <c r="C139" s="68">
        <v>12.5</v>
      </c>
      <c r="D139" s="34">
        <f t="shared" si="16"/>
        <v>250</v>
      </c>
      <c r="E139" s="54"/>
      <c r="F139" s="30" t="s">
        <v>562</v>
      </c>
      <c r="G139" s="31"/>
      <c r="H139" s="31"/>
      <c r="I139" s="20">
        <v>350</v>
      </c>
      <c r="J139" s="19">
        <f t="shared" si="15"/>
        <v>7000</v>
      </c>
      <c r="K139" s="54"/>
      <c r="L139" s="32" t="s">
        <v>563</v>
      </c>
      <c r="M139" s="33"/>
      <c r="N139" s="33"/>
      <c r="O139" s="27">
        <v>10800</v>
      </c>
      <c r="P139" s="21">
        <f t="shared" si="10"/>
        <v>216000</v>
      </c>
      <c r="Q139" s="54"/>
      <c r="R139" s="44" t="s">
        <v>564</v>
      </c>
      <c r="S139" s="45"/>
      <c r="T139" s="27">
        <v>1.68</v>
      </c>
      <c r="U139" s="21">
        <f t="shared" si="12"/>
        <v>33.6</v>
      </c>
      <c r="V139" s="54"/>
      <c r="W139" s="54"/>
      <c r="X139" s="54"/>
      <c r="Y139" s="54"/>
      <c r="Z139" s="54"/>
    </row>
    <row r="140" spans="1:26" ht="16.5" thickBot="1">
      <c r="A140" s="54"/>
      <c r="B140" s="54"/>
      <c r="C140" s="54"/>
      <c r="D140" s="54"/>
      <c r="E140" s="54"/>
      <c r="F140" s="44" t="s">
        <v>565</v>
      </c>
      <c r="G140" s="45"/>
      <c r="H140" s="45"/>
      <c r="I140" s="27">
        <v>12.5</v>
      </c>
      <c r="J140" s="21">
        <f t="shared" si="15"/>
        <v>250</v>
      </c>
      <c r="K140" s="54"/>
      <c r="L140" s="89" t="s">
        <v>566</v>
      </c>
      <c r="M140" s="90"/>
      <c r="N140" s="90"/>
      <c r="O140" s="90"/>
      <c r="P140" s="91"/>
      <c r="Q140" s="54"/>
      <c r="R140" s="30" t="s">
        <v>567</v>
      </c>
      <c r="S140" s="31"/>
      <c r="T140" s="20">
        <v>3.98</v>
      </c>
      <c r="U140" s="19">
        <f t="shared" si="12"/>
        <v>79.599999999999994</v>
      </c>
      <c r="V140" s="54"/>
      <c r="W140" s="54"/>
      <c r="X140" s="54"/>
      <c r="Y140" s="54"/>
      <c r="Z140" s="54"/>
    </row>
    <row r="141" spans="1:26" ht="15.75">
      <c r="A141" s="10" t="s">
        <v>5</v>
      </c>
      <c r="B141" s="11"/>
      <c r="C141" s="11"/>
      <c r="D141" s="12"/>
      <c r="E141" s="54"/>
      <c r="F141" s="30" t="s">
        <v>568</v>
      </c>
      <c r="G141" s="31"/>
      <c r="H141" s="31"/>
      <c r="I141" s="20">
        <v>10</v>
      </c>
      <c r="J141" s="19">
        <f t="shared" si="15"/>
        <v>200</v>
      </c>
      <c r="K141" s="54"/>
      <c r="L141" s="44" t="s">
        <v>569</v>
      </c>
      <c r="M141" s="45"/>
      <c r="N141" s="45"/>
      <c r="O141" s="27">
        <v>10.95</v>
      </c>
      <c r="P141" s="21">
        <f t="shared" si="10"/>
        <v>219</v>
      </c>
      <c r="Q141" s="54"/>
      <c r="R141" s="44" t="s">
        <v>570</v>
      </c>
      <c r="S141" s="45"/>
      <c r="T141" s="27">
        <v>1.48</v>
      </c>
      <c r="U141" s="21">
        <f t="shared" si="12"/>
        <v>29.6</v>
      </c>
      <c r="V141" s="54"/>
      <c r="W141" s="54"/>
      <c r="X141" s="54"/>
      <c r="Y141" s="54"/>
      <c r="Z141" s="54"/>
    </row>
    <row r="142" spans="1:26" ht="15" thickBot="1">
      <c r="A142" s="15" t="s">
        <v>7</v>
      </c>
      <c r="B142" s="16"/>
      <c r="C142" s="18" t="s">
        <v>8</v>
      </c>
      <c r="D142" s="59" t="s">
        <v>198</v>
      </c>
      <c r="E142" s="54"/>
      <c r="F142" s="40" t="s">
        <v>571</v>
      </c>
      <c r="G142" s="41"/>
      <c r="H142" s="41"/>
      <c r="I142" s="68">
        <v>40</v>
      </c>
      <c r="J142" s="34">
        <f t="shared" si="15"/>
        <v>800</v>
      </c>
      <c r="K142" s="54"/>
      <c r="L142" s="30" t="s">
        <v>572</v>
      </c>
      <c r="M142" s="31"/>
      <c r="N142" s="31"/>
      <c r="O142" s="20">
        <v>0.32</v>
      </c>
      <c r="P142" s="19">
        <f t="shared" si="10"/>
        <v>6.4</v>
      </c>
      <c r="Q142" s="54"/>
      <c r="R142" s="30" t="s">
        <v>573</v>
      </c>
      <c r="S142" s="31"/>
      <c r="T142" s="20">
        <v>9.9499999999999993</v>
      </c>
      <c r="U142" s="19">
        <f t="shared" si="12"/>
        <v>199</v>
      </c>
      <c r="V142" s="54"/>
      <c r="W142" s="54"/>
      <c r="X142" s="54"/>
      <c r="Y142" s="54"/>
      <c r="Z142" s="54"/>
    </row>
    <row r="143" spans="1:26" ht="15" thickBot="1">
      <c r="A143" s="108" t="s">
        <v>574</v>
      </c>
      <c r="B143" s="109"/>
      <c r="C143" s="20">
        <v>0.25</v>
      </c>
      <c r="D143" s="107" t="s">
        <v>575</v>
      </c>
      <c r="E143" s="54"/>
      <c r="F143" s="14"/>
      <c r="G143" s="14"/>
      <c r="H143" s="14"/>
      <c r="I143" s="14"/>
      <c r="J143" s="14"/>
      <c r="K143" s="54"/>
      <c r="L143" s="44" t="s">
        <v>576</v>
      </c>
      <c r="M143" s="45"/>
      <c r="N143" s="45"/>
      <c r="O143" s="27">
        <v>4.95</v>
      </c>
      <c r="P143" s="21">
        <f t="shared" si="10"/>
        <v>99</v>
      </c>
      <c r="Q143" s="54"/>
      <c r="R143" s="44" t="s">
        <v>577</v>
      </c>
      <c r="S143" s="45"/>
      <c r="T143" s="27">
        <v>16.649999999999999</v>
      </c>
      <c r="U143" s="21">
        <f t="shared" si="12"/>
        <v>333</v>
      </c>
      <c r="V143" s="54"/>
      <c r="W143" s="54"/>
      <c r="X143" s="54"/>
      <c r="Y143" s="54"/>
      <c r="Z143" s="54"/>
    </row>
    <row r="144" spans="1:26" ht="15.75">
      <c r="A144" s="132" t="s">
        <v>578</v>
      </c>
      <c r="B144" s="133"/>
      <c r="C144" s="27">
        <v>0.02</v>
      </c>
      <c r="D144" s="107"/>
      <c r="E144" s="54"/>
      <c r="F144" s="10" t="s">
        <v>579</v>
      </c>
      <c r="G144" s="11"/>
      <c r="H144" s="11"/>
      <c r="I144" s="11"/>
      <c r="J144" s="12"/>
      <c r="K144" s="54"/>
      <c r="L144" s="30" t="s">
        <v>580</v>
      </c>
      <c r="M144" s="31"/>
      <c r="N144" s="31"/>
      <c r="O144" s="20">
        <v>1</v>
      </c>
      <c r="P144" s="19">
        <f t="shared" si="10"/>
        <v>20</v>
      </c>
      <c r="Q144" s="54"/>
      <c r="R144" s="108" t="s">
        <v>581</v>
      </c>
      <c r="S144" s="109"/>
      <c r="T144" s="20">
        <v>24.65</v>
      </c>
      <c r="U144" s="19">
        <f t="shared" si="12"/>
        <v>493</v>
      </c>
      <c r="V144" s="54"/>
      <c r="W144" s="54"/>
      <c r="X144" s="54"/>
      <c r="Y144" s="54"/>
      <c r="Z144" s="54"/>
    </row>
    <row r="145" spans="1:26">
      <c r="A145" s="30" t="s">
        <v>582</v>
      </c>
      <c r="B145" s="31"/>
      <c r="C145" s="20">
        <v>1.25</v>
      </c>
      <c r="D145" s="107"/>
      <c r="E145" s="54"/>
      <c r="F145" s="15" t="s">
        <v>7</v>
      </c>
      <c r="G145" s="16"/>
      <c r="H145" s="16"/>
      <c r="I145" s="18" t="s">
        <v>8</v>
      </c>
      <c r="J145" s="59" t="s">
        <v>198</v>
      </c>
      <c r="K145" s="54"/>
      <c r="L145" s="44" t="s">
        <v>583</v>
      </c>
      <c r="M145" s="45"/>
      <c r="N145" s="45"/>
      <c r="O145" s="27">
        <v>14.15</v>
      </c>
      <c r="P145" s="21">
        <f t="shared" si="10"/>
        <v>283</v>
      </c>
      <c r="Q145" s="54"/>
      <c r="R145" s="44" t="s">
        <v>584</v>
      </c>
      <c r="S145" s="45"/>
      <c r="T145" s="27">
        <v>34.450000000000003</v>
      </c>
      <c r="U145" s="21">
        <f t="shared" si="12"/>
        <v>689</v>
      </c>
      <c r="V145" s="54"/>
      <c r="W145" s="54"/>
      <c r="X145" s="54"/>
      <c r="Y145" s="54"/>
      <c r="Z145" s="54"/>
    </row>
    <row r="146" spans="1:26" ht="15.75">
      <c r="A146" s="72" t="s">
        <v>585</v>
      </c>
      <c r="B146" s="67"/>
      <c r="C146" s="27">
        <v>0.02</v>
      </c>
      <c r="D146" s="21">
        <f>C146*20</f>
        <v>0.4</v>
      </c>
      <c r="E146" s="58"/>
      <c r="F146" s="108" t="s">
        <v>586</v>
      </c>
      <c r="G146" s="109"/>
      <c r="H146" s="109"/>
      <c r="I146" s="20">
        <v>25</v>
      </c>
      <c r="J146" s="19">
        <f>I146*20</f>
        <v>500</v>
      </c>
      <c r="K146" s="54"/>
      <c r="L146" s="30" t="s">
        <v>587</v>
      </c>
      <c r="M146" s="31"/>
      <c r="N146" s="31"/>
      <c r="O146" s="20">
        <v>8.69</v>
      </c>
      <c r="P146" s="19">
        <f t="shared" si="10"/>
        <v>173.79999999999998</v>
      </c>
      <c r="Q146" s="54"/>
      <c r="R146" s="30" t="s">
        <v>588</v>
      </c>
      <c r="S146" s="31"/>
      <c r="T146" s="20">
        <v>13.85</v>
      </c>
      <c r="U146" s="19">
        <f t="shared" si="12"/>
        <v>277</v>
      </c>
      <c r="V146" s="54"/>
      <c r="W146" s="54"/>
      <c r="X146" s="54"/>
      <c r="Y146" s="54"/>
      <c r="Z146" s="54"/>
    </row>
    <row r="147" spans="1:26" ht="15" thickBot="1">
      <c r="A147" s="69" t="s">
        <v>589</v>
      </c>
      <c r="B147" s="39"/>
      <c r="C147" s="110" t="s">
        <v>590</v>
      </c>
      <c r="D147" s="19" t="s">
        <v>591</v>
      </c>
      <c r="E147" s="54"/>
      <c r="F147" s="44" t="s">
        <v>592</v>
      </c>
      <c r="G147" s="45"/>
      <c r="H147" s="45"/>
      <c r="I147" s="27">
        <v>25</v>
      </c>
      <c r="J147" s="21">
        <f t="shared" ref="J147:J160" si="17">I147*20</f>
        <v>500</v>
      </c>
      <c r="K147" s="54"/>
      <c r="L147" s="44" t="s">
        <v>593</v>
      </c>
      <c r="M147" s="45"/>
      <c r="N147" s="45"/>
      <c r="O147" s="27">
        <v>0.3</v>
      </c>
      <c r="P147" s="21">
        <f t="shared" si="10"/>
        <v>6</v>
      </c>
      <c r="Q147" s="54"/>
      <c r="R147" s="40" t="s">
        <v>594</v>
      </c>
      <c r="S147" s="41"/>
      <c r="T147" s="68">
        <v>0.45</v>
      </c>
      <c r="U147" s="34">
        <f t="shared" si="12"/>
        <v>9</v>
      </c>
      <c r="V147" s="54"/>
      <c r="W147" s="54"/>
      <c r="X147" s="54"/>
      <c r="Y147" s="54"/>
      <c r="Z147" s="54"/>
    </row>
    <row r="148" spans="1:26" ht="15" thickBot="1">
      <c r="A148" s="74" t="s">
        <v>595</v>
      </c>
      <c r="B148" s="75"/>
      <c r="C148" s="27">
        <v>49.95</v>
      </c>
      <c r="D148" s="21" t="s">
        <v>486</v>
      </c>
      <c r="E148" s="54"/>
      <c r="F148" s="30" t="s">
        <v>596</v>
      </c>
      <c r="G148" s="31"/>
      <c r="H148" s="31"/>
      <c r="I148" s="20">
        <v>80</v>
      </c>
      <c r="J148" s="19">
        <f t="shared" si="17"/>
        <v>1600</v>
      </c>
      <c r="K148" s="54"/>
      <c r="L148" s="30" t="s">
        <v>597</v>
      </c>
      <c r="M148" s="31"/>
      <c r="N148" s="31"/>
      <c r="O148" s="20">
        <v>3.25</v>
      </c>
      <c r="P148" s="19">
        <f t="shared" si="10"/>
        <v>65</v>
      </c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>
      <c r="A149" s="69" t="s">
        <v>598</v>
      </c>
      <c r="B149" s="39"/>
      <c r="C149" s="20">
        <v>15.75</v>
      </c>
      <c r="D149" s="19">
        <f>C149*20</f>
        <v>315</v>
      </c>
      <c r="E149" s="54"/>
      <c r="F149" s="44" t="s">
        <v>599</v>
      </c>
      <c r="G149" s="45"/>
      <c r="H149" s="45"/>
      <c r="I149" s="27" t="s">
        <v>600</v>
      </c>
      <c r="J149" s="111" t="s">
        <v>601</v>
      </c>
      <c r="K149" s="54"/>
      <c r="L149" s="44" t="s">
        <v>602</v>
      </c>
      <c r="M149" s="45"/>
      <c r="N149" s="45"/>
      <c r="O149" s="27">
        <v>2.95</v>
      </c>
      <c r="P149" s="21">
        <f t="shared" si="10"/>
        <v>59</v>
      </c>
      <c r="Q149" s="54"/>
      <c r="R149" s="10" t="s">
        <v>603</v>
      </c>
      <c r="S149" s="11"/>
      <c r="T149" s="11"/>
      <c r="U149" s="12"/>
      <c r="V149" s="54"/>
      <c r="W149" s="54"/>
      <c r="X149" s="54"/>
      <c r="Y149" s="54"/>
      <c r="Z149" s="54"/>
    </row>
    <row r="150" spans="1:26" ht="15" thickBot="1">
      <c r="A150" s="74" t="s">
        <v>604</v>
      </c>
      <c r="B150" s="75"/>
      <c r="C150" s="27">
        <v>1.25</v>
      </c>
      <c r="D150" s="21" t="s">
        <v>486</v>
      </c>
      <c r="E150" s="54"/>
      <c r="F150" s="108" t="s">
        <v>605</v>
      </c>
      <c r="G150" s="109"/>
      <c r="H150" s="109"/>
      <c r="I150" s="20">
        <v>199</v>
      </c>
      <c r="J150" s="19">
        <f t="shared" si="17"/>
        <v>3980</v>
      </c>
      <c r="K150" s="54"/>
      <c r="L150" s="50" t="s">
        <v>606</v>
      </c>
      <c r="M150" s="51"/>
      <c r="N150" s="51"/>
      <c r="O150" s="28">
        <v>1.35</v>
      </c>
      <c r="P150" s="26">
        <f t="shared" si="10"/>
        <v>27</v>
      </c>
      <c r="Q150" s="54"/>
      <c r="R150" s="15" t="s">
        <v>7</v>
      </c>
      <c r="S150" s="16"/>
      <c r="T150" s="18" t="s">
        <v>8</v>
      </c>
      <c r="U150" s="59" t="s">
        <v>198</v>
      </c>
      <c r="V150" s="54"/>
      <c r="W150" s="54"/>
      <c r="X150" s="54"/>
      <c r="Y150" s="54"/>
      <c r="Z150" s="54"/>
    </row>
    <row r="151" spans="1:26" ht="15" thickBot="1">
      <c r="A151" s="94" t="s">
        <v>607</v>
      </c>
      <c r="B151" s="95"/>
      <c r="C151" s="28">
        <v>0.05</v>
      </c>
      <c r="D151" s="26">
        <f>C151*20</f>
        <v>1</v>
      </c>
      <c r="E151" s="54"/>
      <c r="F151" s="32" t="s">
        <v>608</v>
      </c>
      <c r="G151" s="33"/>
      <c r="H151" s="33"/>
      <c r="I151" s="27">
        <v>295</v>
      </c>
      <c r="J151" s="21">
        <f t="shared" si="17"/>
        <v>5900</v>
      </c>
      <c r="K151" s="54"/>
      <c r="L151" s="14"/>
      <c r="M151" s="14"/>
      <c r="N151" s="14"/>
      <c r="O151" s="14"/>
      <c r="P151" s="14"/>
      <c r="Q151" s="54"/>
      <c r="R151" s="30" t="s">
        <v>609</v>
      </c>
      <c r="S151" s="31"/>
      <c r="T151" s="20">
        <v>0.15</v>
      </c>
      <c r="U151" s="19">
        <f t="shared" ref="U151:U174" si="18">T151*20</f>
        <v>3</v>
      </c>
      <c r="V151" s="54"/>
      <c r="W151" s="54"/>
      <c r="X151" s="54"/>
      <c r="Y151" s="54"/>
      <c r="Z151" s="54"/>
    </row>
    <row r="152" spans="1:26" ht="15.75">
      <c r="A152" s="54"/>
      <c r="B152" s="54"/>
      <c r="C152" s="54"/>
      <c r="D152" s="54"/>
      <c r="E152" s="54"/>
      <c r="F152" s="80" t="s">
        <v>610</v>
      </c>
      <c r="G152" s="81"/>
      <c r="H152" s="81"/>
      <c r="I152" s="112">
        <v>395</v>
      </c>
      <c r="J152" s="19">
        <f t="shared" si="17"/>
        <v>7900</v>
      </c>
      <c r="K152" s="54"/>
      <c r="L152" s="10" t="s">
        <v>173</v>
      </c>
      <c r="M152" s="11"/>
      <c r="N152" s="11"/>
      <c r="O152" s="11"/>
      <c r="P152" s="12"/>
      <c r="Q152" s="54"/>
      <c r="R152" s="32" t="s">
        <v>611</v>
      </c>
      <c r="S152" s="33"/>
      <c r="T152" s="27">
        <v>0.33</v>
      </c>
      <c r="U152" s="21">
        <f t="shared" si="18"/>
        <v>6.6000000000000005</v>
      </c>
      <c r="V152" s="54"/>
      <c r="W152" s="54"/>
      <c r="X152" s="54"/>
      <c r="Y152" s="54"/>
      <c r="Z152" s="54"/>
    </row>
    <row r="153" spans="1:26" ht="15.75">
      <c r="A153" s="54"/>
      <c r="B153" s="54"/>
      <c r="C153" s="54"/>
      <c r="D153" s="54"/>
      <c r="E153" s="54"/>
      <c r="F153" s="89" t="s">
        <v>612</v>
      </c>
      <c r="G153" s="90"/>
      <c r="H153" s="90"/>
      <c r="I153" s="90"/>
      <c r="J153" s="91"/>
      <c r="K153" s="54"/>
      <c r="L153" s="15" t="s">
        <v>7</v>
      </c>
      <c r="M153" s="16"/>
      <c r="N153" s="16"/>
      <c r="O153" s="18" t="s">
        <v>8</v>
      </c>
      <c r="P153" s="59" t="s">
        <v>198</v>
      </c>
      <c r="Q153" s="54"/>
      <c r="R153" s="30" t="s">
        <v>613</v>
      </c>
      <c r="S153" s="31"/>
      <c r="T153" s="20">
        <v>5.45</v>
      </c>
      <c r="U153" s="19">
        <f t="shared" si="18"/>
        <v>109</v>
      </c>
      <c r="V153" s="54"/>
      <c r="W153" s="54"/>
      <c r="X153" s="54"/>
      <c r="Y153" s="54"/>
      <c r="Z153" s="54"/>
    </row>
    <row r="154" spans="1:26">
      <c r="A154" s="54"/>
      <c r="B154" s="54"/>
      <c r="C154" s="54"/>
      <c r="D154" s="54"/>
      <c r="E154" s="54"/>
      <c r="F154" s="30" t="s">
        <v>614</v>
      </c>
      <c r="G154" s="31"/>
      <c r="H154" s="31"/>
      <c r="I154" s="20">
        <v>10</v>
      </c>
      <c r="J154" s="19">
        <f t="shared" si="17"/>
        <v>200</v>
      </c>
      <c r="K154" s="54"/>
      <c r="L154" s="30" t="s">
        <v>615</v>
      </c>
      <c r="M154" s="31"/>
      <c r="N154" s="31"/>
      <c r="O154" s="20">
        <v>0.15</v>
      </c>
      <c r="P154" s="19">
        <f>O154*20</f>
        <v>3</v>
      </c>
      <c r="Q154" s="54"/>
      <c r="R154" s="44" t="s">
        <v>616</v>
      </c>
      <c r="S154" s="45"/>
      <c r="T154" s="27">
        <v>1.3</v>
      </c>
      <c r="U154" s="21">
        <f t="shared" si="18"/>
        <v>26</v>
      </c>
      <c r="V154" s="54"/>
      <c r="W154" s="54"/>
      <c r="X154" s="54"/>
      <c r="Y154" s="54"/>
      <c r="Z154" s="54"/>
    </row>
    <row r="155" spans="1:26">
      <c r="A155" s="54"/>
      <c r="B155" s="54"/>
      <c r="C155" s="54"/>
      <c r="D155" s="54"/>
      <c r="E155" s="54"/>
      <c r="F155" s="44" t="s">
        <v>617</v>
      </c>
      <c r="G155" s="45"/>
      <c r="H155" s="45"/>
      <c r="I155" s="27">
        <v>19.95</v>
      </c>
      <c r="J155" s="21">
        <f t="shared" si="17"/>
        <v>399</v>
      </c>
      <c r="K155" s="54"/>
      <c r="L155" s="44" t="s">
        <v>618</v>
      </c>
      <c r="M155" s="45"/>
      <c r="N155" s="45"/>
      <c r="O155" s="27">
        <v>0.05</v>
      </c>
      <c r="P155" s="21">
        <f>O155*20</f>
        <v>1</v>
      </c>
      <c r="Q155" s="54"/>
      <c r="R155" s="108" t="s">
        <v>619</v>
      </c>
      <c r="S155" s="109"/>
      <c r="T155" s="20">
        <v>14.1</v>
      </c>
      <c r="U155" s="19">
        <f t="shared" si="18"/>
        <v>282</v>
      </c>
      <c r="V155" s="54"/>
      <c r="W155" s="54"/>
      <c r="X155" s="54"/>
      <c r="Y155" s="54"/>
      <c r="Z155" s="54"/>
    </row>
    <row r="156" spans="1:26">
      <c r="A156" s="54"/>
      <c r="B156" s="54"/>
      <c r="C156" s="54"/>
      <c r="D156" s="54"/>
      <c r="E156" s="54"/>
      <c r="F156" s="30" t="s">
        <v>620</v>
      </c>
      <c r="G156" s="31"/>
      <c r="H156" s="31"/>
      <c r="I156" s="20">
        <v>5</v>
      </c>
      <c r="J156" s="19">
        <f t="shared" si="17"/>
        <v>100</v>
      </c>
      <c r="K156" s="54"/>
      <c r="L156" s="30" t="s">
        <v>621</v>
      </c>
      <c r="M156" s="31"/>
      <c r="N156" s="31"/>
      <c r="O156" s="20">
        <v>1</v>
      </c>
      <c r="P156" s="19">
        <f>O156*20</f>
        <v>20</v>
      </c>
      <c r="Q156" s="54"/>
      <c r="R156" s="44" t="s">
        <v>622</v>
      </c>
      <c r="S156" s="45"/>
      <c r="T156" s="27">
        <v>0.55000000000000004</v>
      </c>
      <c r="U156" s="21">
        <f t="shared" si="18"/>
        <v>11</v>
      </c>
      <c r="V156" s="54"/>
      <c r="W156" s="54"/>
      <c r="X156" s="54"/>
      <c r="Y156" s="54"/>
      <c r="Z156" s="54"/>
    </row>
    <row r="157" spans="1:26">
      <c r="A157" s="54"/>
      <c r="B157" s="54"/>
      <c r="C157" s="54"/>
      <c r="D157" s="54"/>
      <c r="E157" s="54"/>
      <c r="F157" s="44" t="s">
        <v>623</v>
      </c>
      <c r="G157" s="45"/>
      <c r="H157" s="45"/>
      <c r="I157" s="27">
        <v>77</v>
      </c>
      <c r="J157" s="21">
        <f t="shared" si="17"/>
        <v>1540</v>
      </c>
      <c r="K157" s="54"/>
      <c r="L157" s="44" t="s">
        <v>624</v>
      </c>
      <c r="M157" s="45"/>
      <c r="N157" s="45"/>
      <c r="O157" s="27">
        <v>4</v>
      </c>
      <c r="P157" s="21">
        <f>O157*20</f>
        <v>80</v>
      </c>
      <c r="Q157" s="54"/>
      <c r="R157" s="30" t="s">
        <v>625</v>
      </c>
      <c r="S157" s="31"/>
      <c r="T157" s="20">
        <v>6.75</v>
      </c>
      <c r="U157" s="19">
        <f t="shared" si="18"/>
        <v>135</v>
      </c>
      <c r="V157" s="54"/>
      <c r="W157" s="54"/>
      <c r="X157" s="54"/>
      <c r="Y157" s="54"/>
      <c r="Z157" s="54"/>
    </row>
    <row r="158" spans="1:26">
      <c r="A158" s="54"/>
      <c r="B158" s="54"/>
      <c r="C158" s="54"/>
      <c r="D158" s="54"/>
      <c r="E158" s="54"/>
      <c r="F158" s="30" t="s">
        <v>626</v>
      </c>
      <c r="G158" s="31"/>
      <c r="H158" s="31"/>
      <c r="I158" s="20">
        <v>49.5</v>
      </c>
      <c r="J158" s="19">
        <f t="shared" si="17"/>
        <v>990</v>
      </c>
      <c r="K158" s="54"/>
      <c r="L158" s="30" t="s">
        <v>627</v>
      </c>
      <c r="M158" s="31"/>
      <c r="N158" s="31"/>
      <c r="O158" s="20">
        <v>10</v>
      </c>
      <c r="P158" s="19">
        <f>O158*20</f>
        <v>200</v>
      </c>
      <c r="Q158" s="54"/>
      <c r="R158" s="44" t="s">
        <v>628</v>
      </c>
      <c r="S158" s="45"/>
      <c r="T158" s="27">
        <v>4.1500000000000004</v>
      </c>
      <c r="U158" s="21">
        <f t="shared" si="18"/>
        <v>83</v>
      </c>
      <c r="V158" s="54"/>
      <c r="W158" s="54"/>
      <c r="X158" s="54"/>
      <c r="Y158" s="54"/>
      <c r="Z158" s="54"/>
    </row>
    <row r="159" spans="1:26" ht="15.75">
      <c r="A159" s="54"/>
      <c r="B159" s="54"/>
      <c r="C159" s="54"/>
      <c r="D159" s="54"/>
      <c r="E159" s="54"/>
      <c r="F159" s="44" t="s">
        <v>629</v>
      </c>
      <c r="G159" s="45"/>
      <c r="H159" s="45"/>
      <c r="I159" s="27">
        <v>48</v>
      </c>
      <c r="J159" s="21">
        <f t="shared" si="17"/>
        <v>960</v>
      </c>
      <c r="K159" s="54"/>
      <c r="L159" s="89" t="s">
        <v>630</v>
      </c>
      <c r="M159" s="90"/>
      <c r="N159" s="90"/>
      <c r="O159" s="90"/>
      <c r="P159" s="91"/>
      <c r="Q159" s="54"/>
      <c r="R159" s="30" t="s">
        <v>631</v>
      </c>
      <c r="S159" s="31"/>
      <c r="T159" s="20">
        <v>1.65</v>
      </c>
      <c r="U159" s="19">
        <f t="shared" si="18"/>
        <v>33</v>
      </c>
      <c r="V159" s="54"/>
      <c r="W159" s="54"/>
      <c r="X159" s="54"/>
      <c r="Y159" s="54"/>
      <c r="Z159" s="54"/>
    </row>
    <row r="160" spans="1:26" ht="15" thickBot="1">
      <c r="A160" s="54"/>
      <c r="B160" s="54"/>
      <c r="C160" s="54"/>
      <c r="D160" s="54"/>
      <c r="E160" s="54"/>
      <c r="F160" s="50" t="s">
        <v>632</v>
      </c>
      <c r="G160" s="51"/>
      <c r="H160" s="51"/>
      <c r="I160" s="28">
        <v>125</v>
      </c>
      <c r="J160" s="26">
        <f t="shared" si="17"/>
        <v>2500</v>
      </c>
      <c r="K160" s="54"/>
      <c r="L160" s="30" t="s">
        <v>633</v>
      </c>
      <c r="M160" s="31"/>
      <c r="N160" s="31"/>
      <c r="O160" s="20">
        <v>98</v>
      </c>
      <c r="P160" s="113" t="s">
        <v>486</v>
      </c>
      <c r="Q160" s="54"/>
      <c r="R160" s="44" t="s">
        <v>634</v>
      </c>
      <c r="S160" s="45"/>
      <c r="T160" s="27">
        <v>4.82</v>
      </c>
      <c r="U160" s="21">
        <f t="shared" si="18"/>
        <v>96.4</v>
      </c>
      <c r="V160" s="54"/>
      <c r="W160" s="54"/>
      <c r="X160" s="54"/>
      <c r="Y160" s="54"/>
      <c r="Z160" s="54"/>
    </row>
    <row r="161" spans="1:26" ht="15" thickBo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44" t="s">
        <v>635</v>
      </c>
      <c r="M161" s="45"/>
      <c r="N161" s="45"/>
      <c r="O161" s="27">
        <v>0.75</v>
      </c>
      <c r="P161" s="113"/>
      <c r="Q161" s="54"/>
      <c r="R161" s="108" t="s">
        <v>636</v>
      </c>
      <c r="S161" s="109"/>
      <c r="T161" s="20">
        <v>9.25</v>
      </c>
      <c r="U161" s="19">
        <f t="shared" si="18"/>
        <v>185</v>
      </c>
      <c r="V161" s="54"/>
      <c r="W161" s="54"/>
      <c r="X161" s="54"/>
      <c r="Y161" s="54"/>
      <c r="Z161" s="54"/>
    </row>
    <row r="162" spans="1:26" ht="15.75">
      <c r="A162" s="54"/>
      <c r="B162" s="54"/>
      <c r="C162" s="54"/>
      <c r="D162" s="54"/>
      <c r="E162" s="54"/>
      <c r="F162" s="10" t="s">
        <v>637</v>
      </c>
      <c r="G162" s="11"/>
      <c r="H162" s="11"/>
      <c r="I162" s="11"/>
      <c r="J162" s="12"/>
      <c r="K162" s="54"/>
      <c r="L162" s="30" t="s">
        <v>638</v>
      </c>
      <c r="M162" s="31"/>
      <c r="N162" s="31"/>
      <c r="O162" s="73" t="s">
        <v>639</v>
      </c>
      <c r="P162" s="113"/>
      <c r="Q162" s="54"/>
      <c r="R162" s="44" t="s">
        <v>640</v>
      </c>
      <c r="S162" s="45"/>
      <c r="T162" s="27">
        <v>6.15</v>
      </c>
      <c r="U162" s="21">
        <f t="shared" si="18"/>
        <v>123</v>
      </c>
      <c r="V162" s="54"/>
      <c r="W162" s="54"/>
      <c r="X162" s="54"/>
      <c r="Y162" s="54"/>
      <c r="Z162" s="54"/>
    </row>
    <row r="163" spans="1:26">
      <c r="A163" s="54"/>
      <c r="B163" s="54"/>
      <c r="C163" s="54"/>
      <c r="D163" s="54"/>
      <c r="E163" s="54"/>
      <c r="F163" s="15" t="s">
        <v>7</v>
      </c>
      <c r="G163" s="16"/>
      <c r="H163" s="16"/>
      <c r="I163" s="18" t="s">
        <v>8</v>
      </c>
      <c r="J163" s="59" t="s">
        <v>198</v>
      </c>
      <c r="K163" s="54"/>
      <c r="L163" s="44" t="s">
        <v>641</v>
      </c>
      <c r="M163" s="45"/>
      <c r="N163" s="45"/>
      <c r="O163" s="27">
        <v>0.38</v>
      </c>
      <c r="P163" s="113"/>
      <c r="Q163" s="54"/>
      <c r="R163" s="30" t="s">
        <v>642</v>
      </c>
      <c r="S163" s="31"/>
      <c r="T163" s="20">
        <v>5.95</v>
      </c>
      <c r="U163" s="19">
        <f t="shared" si="18"/>
        <v>119</v>
      </c>
      <c r="V163" s="54"/>
      <c r="W163" s="54"/>
      <c r="X163" s="54"/>
      <c r="Y163" s="54"/>
      <c r="Z163" s="54"/>
    </row>
    <row r="164" spans="1:26">
      <c r="A164" s="54"/>
      <c r="B164" s="54"/>
      <c r="C164" s="54"/>
      <c r="D164" s="54"/>
      <c r="E164" s="54"/>
      <c r="F164" s="30" t="s">
        <v>643</v>
      </c>
      <c r="G164" s="31"/>
      <c r="H164" s="31"/>
      <c r="I164" s="20" t="s">
        <v>644</v>
      </c>
      <c r="J164" s="114" t="s">
        <v>645</v>
      </c>
      <c r="K164" s="54"/>
      <c r="L164" s="30" t="s">
        <v>646</v>
      </c>
      <c r="M164" s="31"/>
      <c r="N164" s="31"/>
      <c r="O164" s="20">
        <v>4.95</v>
      </c>
      <c r="P164" s="113"/>
      <c r="Q164" s="54"/>
      <c r="R164" s="44" t="s">
        <v>647</v>
      </c>
      <c r="S164" s="45"/>
      <c r="T164" s="27">
        <v>3.75</v>
      </c>
      <c r="U164" s="21">
        <f t="shared" si="18"/>
        <v>75</v>
      </c>
      <c r="V164" s="54"/>
      <c r="W164" s="54"/>
      <c r="X164" s="54"/>
      <c r="Y164" s="54"/>
      <c r="Z164" s="54"/>
    </row>
    <row r="165" spans="1:26">
      <c r="A165" s="54"/>
      <c r="B165" s="54"/>
      <c r="C165" s="54"/>
      <c r="D165" s="54"/>
      <c r="E165" s="54"/>
      <c r="F165" s="44" t="s">
        <v>648</v>
      </c>
      <c r="G165" s="45"/>
      <c r="H165" s="45"/>
      <c r="I165" s="27" t="s">
        <v>649</v>
      </c>
      <c r="J165" s="111" t="s">
        <v>650</v>
      </c>
      <c r="K165" s="54"/>
      <c r="L165" s="44" t="s">
        <v>651</v>
      </c>
      <c r="M165" s="45"/>
      <c r="N165" s="45"/>
      <c r="O165" s="142" t="s">
        <v>652</v>
      </c>
      <c r="P165" s="113"/>
      <c r="Q165" s="54"/>
      <c r="R165" s="30" t="s">
        <v>653</v>
      </c>
      <c r="S165" s="31"/>
      <c r="T165" s="20">
        <v>1.68</v>
      </c>
      <c r="U165" s="19">
        <f t="shared" si="18"/>
        <v>33.6</v>
      </c>
      <c r="V165" s="54"/>
      <c r="W165" s="54"/>
      <c r="X165" s="54"/>
      <c r="Y165" s="54"/>
      <c r="Z165" s="54"/>
    </row>
    <row r="166" spans="1:26" ht="15" thickBot="1">
      <c r="A166" s="54"/>
      <c r="B166" s="54"/>
      <c r="C166" s="54"/>
      <c r="D166" s="54"/>
      <c r="E166" s="54"/>
      <c r="F166" s="50" t="s">
        <v>654</v>
      </c>
      <c r="G166" s="51"/>
      <c r="H166" s="51"/>
      <c r="I166" s="28">
        <v>30</v>
      </c>
      <c r="J166" s="26">
        <f t="shared" ref="J166" si="19">I166*20</f>
        <v>600</v>
      </c>
      <c r="K166" s="54"/>
      <c r="L166" s="30" t="s">
        <v>655</v>
      </c>
      <c r="M166" s="31"/>
      <c r="N166" s="31"/>
      <c r="O166" s="20">
        <v>140</v>
      </c>
      <c r="P166" s="113"/>
      <c r="Q166" s="54"/>
      <c r="R166" s="32" t="s">
        <v>656</v>
      </c>
      <c r="S166" s="33"/>
      <c r="T166" s="27">
        <v>7.4</v>
      </c>
      <c r="U166" s="21">
        <f t="shared" si="18"/>
        <v>148</v>
      </c>
      <c r="V166" s="54"/>
      <c r="W166" s="54"/>
      <c r="X166" s="54"/>
      <c r="Y166" s="54"/>
      <c r="Z166" s="54"/>
    </row>
    <row r="167" spans="1:26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44" t="s">
        <v>657</v>
      </c>
      <c r="M167" s="45"/>
      <c r="N167" s="45"/>
      <c r="O167" s="27">
        <v>335</v>
      </c>
      <c r="P167" s="113"/>
      <c r="Q167" s="54"/>
      <c r="R167" s="30" t="s">
        <v>658</v>
      </c>
      <c r="S167" s="31"/>
      <c r="T167" s="20">
        <v>0.59</v>
      </c>
      <c r="U167" s="19">
        <f t="shared" si="18"/>
        <v>11.799999999999999</v>
      </c>
      <c r="V167" s="54"/>
      <c r="W167" s="54"/>
      <c r="X167" s="54"/>
      <c r="Y167" s="54"/>
      <c r="Z167" s="54"/>
    </row>
    <row r="168" spans="1:26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30" t="s">
        <v>659</v>
      </c>
      <c r="M168" s="31"/>
      <c r="N168" s="31"/>
      <c r="O168" s="20">
        <v>65</v>
      </c>
      <c r="P168" s="113"/>
      <c r="Q168" s="54"/>
      <c r="R168" s="32" t="s">
        <v>660</v>
      </c>
      <c r="S168" s="33"/>
      <c r="T168" s="27">
        <v>0.98</v>
      </c>
      <c r="U168" s="21">
        <f t="shared" si="18"/>
        <v>19.600000000000001</v>
      </c>
      <c r="V168" s="54"/>
      <c r="W168" s="54"/>
      <c r="X168" s="54"/>
      <c r="Y168" s="54"/>
      <c r="Z168" s="54"/>
    </row>
    <row r="169" spans="1:26" ht="15.75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89" t="s">
        <v>661</v>
      </c>
      <c r="M169" s="90"/>
      <c r="N169" s="90"/>
      <c r="O169" s="90"/>
      <c r="P169" s="91"/>
      <c r="Q169" s="54"/>
      <c r="R169" s="30" t="s">
        <v>662</v>
      </c>
      <c r="S169" s="31"/>
      <c r="T169" s="20">
        <v>0.59</v>
      </c>
      <c r="U169" s="19">
        <f t="shared" si="18"/>
        <v>11.799999999999999</v>
      </c>
      <c r="V169" s="54"/>
      <c r="W169" s="54"/>
      <c r="X169" s="54"/>
      <c r="Y169" s="54"/>
      <c r="Z169" s="54"/>
    </row>
    <row r="170" spans="1:26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30" t="s">
        <v>663</v>
      </c>
      <c r="M170" s="31"/>
      <c r="N170" s="31"/>
      <c r="O170" s="20">
        <v>7.45</v>
      </c>
      <c r="P170" s="19">
        <f t="shared" ref="P170:P178" si="20">O170*20</f>
        <v>149</v>
      </c>
      <c r="Q170" s="54"/>
      <c r="R170" s="44" t="s">
        <v>664</v>
      </c>
      <c r="S170" s="45"/>
      <c r="T170" s="27">
        <v>1.39</v>
      </c>
      <c r="U170" s="21">
        <f t="shared" si="18"/>
        <v>27.799999999999997</v>
      </c>
      <c r="V170" s="54"/>
      <c r="W170" s="54"/>
      <c r="X170" s="54"/>
      <c r="Y170" s="54"/>
      <c r="Z170" s="54"/>
    </row>
    <row r="171" spans="1:26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44" t="s">
        <v>665</v>
      </c>
      <c r="M171" s="45"/>
      <c r="N171" s="45"/>
      <c r="O171" s="27">
        <v>69.75</v>
      </c>
      <c r="P171" s="21">
        <f t="shared" si="20"/>
        <v>1395</v>
      </c>
      <c r="Q171" s="54"/>
      <c r="R171" s="108" t="s">
        <v>666</v>
      </c>
      <c r="S171" s="109"/>
      <c r="T171" s="20">
        <v>23.95</v>
      </c>
      <c r="U171" s="19">
        <f t="shared" si="18"/>
        <v>479</v>
      </c>
      <c r="V171" s="54"/>
      <c r="W171" s="54"/>
      <c r="X171" s="54"/>
      <c r="Y171" s="54"/>
      <c r="Z171" s="54"/>
    </row>
    <row r="172" spans="1:26" ht="15.75">
      <c r="A172" s="54"/>
      <c r="B172" s="54"/>
      <c r="C172" s="54"/>
      <c r="D172" s="54"/>
      <c r="E172" s="54"/>
      <c r="F172" s="54"/>
      <c r="G172" s="58"/>
      <c r="H172" s="54"/>
      <c r="I172" s="54"/>
      <c r="J172" s="54"/>
      <c r="K172" s="54"/>
      <c r="L172" s="30" t="s">
        <v>667</v>
      </c>
      <c r="M172" s="31"/>
      <c r="N172" s="31"/>
      <c r="O172" s="20">
        <v>8.9499999999999993</v>
      </c>
      <c r="P172" s="19">
        <f t="shared" si="20"/>
        <v>179</v>
      </c>
      <c r="Q172" s="54"/>
      <c r="R172" s="132" t="s">
        <v>668</v>
      </c>
      <c r="S172" s="133"/>
      <c r="T172" s="27">
        <v>2.2999999999999998</v>
      </c>
      <c r="U172" s="21">
        <f t="shared" si="18"/>
        <v>46</v>
      </c>
      <c r="V172" s="54"/>
      <c r="W172" s="54"/>
      <c r="X172" s="54"/>
      <c r="Y172" s="54"/>
      <c r="Z172" s="54"/>
    </row>
    <row r="173" spans="1:26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44" t="s">
        <v>669</v>
      </c>
      <c r="M173" s="45"/>
      <c r="N173" s="45"/>
      <c r="O173" s="27">
        <v>2.75</v>
      </c>
      <c r="P173" s="21">
        <f t="shared" si="20"/>
        <v>55</v>
      </c>
      <c r="Q173" s="54"/>
      <c r="R173" s="30" t="s">
        <v>670</v>
      </c>
      <c r="S173" s="31"/>
      <c r="T173" s="20">
        <v>1.99</v>
      </c>
      <c r="U173" s="19">
        <f t="shared" si="18"/>
        <v>39.799999999999997</v>
      </c>
      <c r="V173" s="54"/>
      <c r="W173" s="54"/>
      <c r="X173" s="54"/>
      <c r="Y173" s="54"/>
      <c r="Z173" s="54"/>
    </row>
    <row r="174" spans="1:26" ht="15" thickBo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30" t="s">
        <v>671</v>
      </c>
      <c r="M174" s="31"/>
      <c r="N174" s="31"/>
      <c r="O174" s="20">
        <v>9.9499999999999993</v>
      </c>
      <c r="P174" s="19">
        <f t="shared" si="20"/>
        <v>199</v>
      </c>
      <c r="Q174" s="54"/>
      <c r="R174" s="143" t="s">
        <v>672</v>
      </c>
      <c r="S174" s="144"/>
      <c r="T174" s="68">
        <v>1.8</v>
      </c>
      <c r="U174" s="34">
        <f t="shared" si="18"/>
        <v>36</v>
      </c>
      <c r="V174" s="54"/>
      <c r="W174" s="54"/>
      <c r="X174" s="54"/>
      <c r="Y174" s="54"/>
      <c r="Z174" s="54"/>
    </row>
    <row r="175" spans="1:26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44" t="s">
        <v>673</v>
      </c>
      <c r="M175" s="45"/>
      <c r="N175" s="45"/>
      <c r="O175" s="27">
        <v>14.95</v>
      </c>
      <c r="P175" s="21">
        <f t="shared" si="20"/>
        <v>299</v>
      </c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30" t="s">
        <v>674</v>
      </c>
      <c r="M176" s="31"/>
      <c r="N176" s="31"/>
      <c r="O176" s="20">
        <v>3.45</v>
      </c>
      <c r="P176" s="19">
        <f t="shared" si="20"/>
        <v>69</v>
      </c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44" t="s">
        <v>675</v>
      </c>
      <c r="M177" s="45"/>
      <c r="N177" s="45"/>
      <c r="O177" s="27">
        <v>127</v>
      </c>
      <c r="P177" s="21">
        <f t="shared" si="20"/>
        <v>2540</v>
      </c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" thickBo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0" t="s">
        <v>676</v>
      </c>
      <c r="M178" s="51"/>
      <c r="N178" s="51"/>
      <c r="O178" s="28">
        <v>447</v>
      </c>
      <c r="P178" s="26">
        <f t="shared" si="20"/>
        <v>8940</v>
      </c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</sheetData>
  <mergeCells count="697">
    <mergeCell ref="L177:N177"/>
    <mergeCell ref="L178:N178"/>
    <mergeCell ref="L173:N173"/>
    <mergeCell ref="R173:S173"/>
    <mergeCell ref="L174:N174"/>
    <mergeCell ref="R174:S174"/>
    <mergeCell ref="L175:N175"/>
    <mergeCell ref="L176:N176"/>
    <mergeCell ref="L170:N170"/>
    <mergeCell ref="R170:S170"/>
    <mergeCell ref="L171:N171"/>
    <mergeCell ref="R171:S171"/>
    <mergeCell ref="L172:N172"/>
    <mergeCell ref="R172:S172"/>
    <mergeCell ref="L167:N167"/>
    <mergeCell ref="R167:S167"/>
    <mergeCell ref="L168:N168"/>
    <mergeCell ref="R168:S168"/>
    <mergeCell ref="L169:P169"/>
    <mergeCell ref="R169:S169"/>
    <mergeCell ref="F165:H165"/>
    <mergeCell ref="L165:N165"/>
    <mergeCell ref="R165:S165"/>
    <mergeCell ref="F166:H166"/>
    <mergeCell ref="L166:N166"/>
    <mergeCell ref="R166:S166"/>
    <mergeCell ref="L162:N162"/>
    <mergeCell ref="R162:S162"/>
    <mergeCell ref="F163:H163"/>
    <mergeCell ref="L163:N163"/>
    <mergeCell ref="R163:S163"/>
    <mergeCell ref="F164:H164"/>
    <mergeCell ref="L164:N164"/>
    <mergeCell ref="R164:S164"/>
    <mergeCell ref="F159:H159"/>
    <mergeCell ref="L159:P159"/>
    <mergeCell ref="R159:S159"/>
    <mergeCell ref="F160:H160"/>
    <mergeCell ref="L160:N160"/>
    <mergeCell ref="P160:P168"/>
    <mergeCell ref="R160:S160"/>
    <mergeCell ref="L161:N161"/>
    <mergeCell ref="R161:S161"/>
    <mergeCell ref="F162:J162"/>
    <mergeCell ref="F157:H157"/>
    <mergeCell ref="L157:N157"/>
    <mergeCell ref="R157:S157"/>
    <mergeCell ref="F158:H158"/>
    <mergeCell ref="L158:N158"/>
    <mergeCell ref="R158:S158"/>
    <mergeCell ref="F155:H155"/>
    <mergeCell ref="L155:N155"/>
    <mergeCell ref="R155:S155"/>
    <mergeCell ref="F156:H156"/>
    <mergeCell ref="L156:N156"/>
    <mergeCell ref="R156:S156"/>
    <mergeCell ref="F153:J153"/>
    <mergeCell ref="L153:N153"/>
    <mergeCell ref="R153:S153"/>
    <mergeCell ref="F154:H154"/>
    <mergeCell ref="L154:N154"/>
    <mergeCell ref="R154:S154"/>
    <mergeCell ref="A151:B151"/>
    <mergeCell ref="F151:H151"/>
    <mergeCell ref="R151:S151"/>
    <mergeCell ref="F152:H152"/>
    <mergeCell ref="L152:P152"/>
    <mergeCell ref="R152:S152"/>
    <mergeCell ref="A149:B149"/>
    <mergeCell ref="F149:H149"/>
    <mergeCell ref="L149:N149"/>
    <mergeCell ref="R149:U149"/>
    <mergeCell ref="A150:B150"/>
    <mergeCell ref="F150:H150"/>
    <mergeCell ref="L150:N150"/>
    <mergeCell ref="R150:S150"/>
    <mergeCell ref="A147:B147"/>
    <mergeCell ref="F147:H147"/>
    <mergeCell ref="L147:N147"/>
    <mergeCell ref="R147:S147"/>
    <mergeCell ref="A148:B148"/>
    <mergeCell ref="F148:H148"/>
    <mergeCell ref="L148:N148"/>
    <mergeCell ref="L145:N145"/>
    <mergeCell ref="R145:S145"/>
    <mergeCell ref="A146:B146"/>
    <mergeCell ref="F146:H146"/>
    <mergeCell ref="L146:N146"/>
    <mergeCell ref="R146:S146"/>
    <mergeCell ref="A143:B143"/>
    <mergeCell ref="D143:D145"/>
    <mergeCell ref="L143:N143"/>
    <mergeCell ref="R143:S143"/>
    <mergeCell ref="A144:B144"/>
    <mergeCell ref="F144:J144"/>
    <mergeCell ref="L144:N144"/>
    <mergeCell ref="R144:S144"/>
    <mergeCell ref="A145:B145"/>
    <mergeCell ref="F145:H145"/>
    <mergeCell ref="A141:D141"/>
    <mergeCell ref="F141:H141"/>
    <mergeCell ref="L141:N141"/>
    <mergeCell ref="R141:S141"/>
    <mergeCell ref="A142:B142"/>
    <mergeCell ref="F142:H142"/>
    <mergeCell ref="L142:N142"/>
    <mergeCell ref="R142:S142"/>
    <mergeCell ref="A139:B139"/>
    <mergeCell ref="F139:H139"/>
    <mergeCell ref="L139:N139"/>
    <mergeCell ref="R139:S139"/>
    <mergeCell ref="F140:H140"/>
    <mergeCell ref="L140:P140"/>
    <mergeCell ref="R140:S140"/>
    <mergeCell ref="A137:B137"/>
    <mergeCell ref="F137:H137"/>
    <mergeCell ref="L137:N137"/>
    <mergeCell ref="R137:S137"/>
    <mergeCell ref="A138:B138"/>
    <mergeCell ref="F138:H138"/>
    <mergeCell ref="L138:N138"/>
    <mergeCell ref="R138:S138"/>
    <mergeCell ref="A135:B135"/>
    <mergeCell ref="F135:H135"/>
    <mergeCell ref="L135:N135"/>
    <mergeCell ref="R135:S135"/>
    <mergeCell ref="A136:B136"/>
    <mergeCell ref="F136:J136"/>
    <mergeCell ref="L136:N136"/>
    <mergeCell ref="R136:S136"/>
    <mergeCell ref="A133:B133"/>
    <mergeCell ref="F133:H133"/>
    <mergeCell ref="L133:N133"/>
    <mergeCell ref="R133:S133"/>
    <mergeCell ref="A134:B134"/>
    <mergeCell ref="F134:H134"/>
    <mergeCell ref="L134:N134"/>
    <mergeCell ref="R134:S134"/>
    <mergeCell ref="F131:H131"/>
    <mergeCell ref="L131:N131"/>
    <mergeCell ref="R131:S131"/>
    <mergeCell ref="A132:D132"/>
    <mergeCell ref="F132:H132"/>
    <mergeCell ref="L132:N132"/>
    <mergeCell ref="R132:S132"/>
    <mergeCell ref="A129:B129"/>
    <mergeCell ref="F129:H129"/>
    <mergeCell ref="L129:N129"/>
    <mergeCell ref="R129:S129"/>
    <mergeCell ref="A130:B130"/>
    <mergeCell ref="F130:H130"/>
    <mergeCell ref="L130:N130"/>
    <mergeCell ref="R130:S130"/>
    <mergeCell ref="A127:B127"/>
    <mergeCell ref="F127:J127"/>
    <mergeCell ref="L127:N127"/>
    <mergeCell ref="R127:S127"/>
    <mergeCell ref="A128:B128"/>
    <mergeCell ref="F128:H128"/>
    <mergeCell ref="L128:N128"/>
    <mergeCell ref="R128:S128"/>
    <mergeCell ref="A125:B125"/>
    <mergeCell ref="F125:H125"/>
    <mergeCell ref="L125:N125"/>
    <mergeCell ref="R125:S125"/>
    <mergeCell ref="A126:B126"/>
    <mergeCell ref="L126:N126"/>
    <mergeCell ref="R126:S126"/>
    <mergeCell ref="A123:B123"/>
    <mergeCell ref="F123:H123"/>
    <mergeCell ref="L123:N123"/>
    <mergeCell ref="R123:S123"/>
    <mergeCell ref="A124:B124"/>
    <mergeCell ref="F124:H124"/>
    <mergeCell ref="L124:N124"/>
    <mergeCell ref="R124:S124"/>
    <mergeCell ref="A121:D121"/>
    <mergeCell ref="F121:J121"/>
    <mergeCell ref="L121:N121"/>
    <mergeCell ref="R121:S121"/>
    <mergeCell ref="A122:B122"/>
    <mergeCell ref="F122:H122"/>
    <mergeCell ref="L122:N122"/>
    <mergeCell ref="R122:S122"/>
    <mergeCell ref="A119:B119"/>
    <mergeCell ref="F119:H119"/>
    <mergeCell ref="L119:N119"/>
    <mergeCell ref="R119:S119"/>
    <mergeCell ref="A120:B120"/>
    <mergeCell ref="F120:H120"/>
    <mergeCell ref="L120:N120"/>
    <mergeCell ref="R120:S120"/>
    <mergeCell ref="A117:D117"/>
    <mergeCell ref="F117:H117"/>
    <mergeCell ref="L117:N117"/>
    <mergeCell ref="R117:S117"/>
    <mergeCell ref="A118:B118"/>
    <mergeCell ref="F118:H118"/>
    <mergeCell ref="L118:N118"/>
    <mergeCell ref="R118:S118"/>
    <mergeCell ref="A115:B115"/>
    <mergeCell ref="F115:H115"/>
    <mergeCell ref="L115:N115"/>
    <mergeCell ref="R115:S115"/>
    <mergeCell ref="F116:H116"/>
    <mergeCell ref="L116:N116"/>
    <mergeCell ref="R116:S116"/>
    <mergeCell ref="R112:U112"/>
    <mergeCell ref="A113:B113"/>
    <mergeCell ref="L113:N113"/>
    <mergeCell ref="R113:S113"/>
    <mergeCell ref="A114:B114"/>
    <mergeCell ref="F114:J114"/>
    <mergeCell ref="L114:N114"/>
    <mergeCell ref="R114:S114"/>
    <mergeCell ref="A111:B111"/>
    <mergeCell ref="F111:H111"/>
    <mergeCell ref="L111:N111"/>
    <mergeCell ref="A112:B112"/>
    <mergeCell ref="F112:H112"/>
    <mergeCell ref="L112:N112"/>
    <mergeCell ref="A109:B109"/>
    <mergeCell ref="F109:H109"/>
    <mergeCell ref="L109:N109"/>
    <mergeCell ref="R109:S109"/>
    <mergeCell ref="A110:B110"/>
    <mergeCell ref="F110:H110"/>
    <mergeCell ref="L110:N110"/>
    <mergeCell ref="R110:S110"/>
    <mergeCell ref="A107:B107"/>
    <mergeCell ref="F107:I107"/>
    <mergeCell ref="L107:N107"/>
    <mergeCell ref="R107:S107"/>
    <mergeCell ref="A108:B108"/>
    <mergeCell ref="F108:I108"/>
    <mergeCell ref="L108:N108"/>
    <mergeCell ref="R108:S108"/>
    <mergeCell ref="F105:I105"/>
    <mergeCell ref="R105:S105"/>
    <mergeCell ref="A106:B106"/>
    <mergeCell ref="F106:I106"/>
    <mergeCell ref="L106:P106"/>
    <mergeCell ref="R106:S106"/>
    <mergeCell ref="A103:B103"/>
    <mergeCell ref="F103:I103"/>
    <mergeCell ref="L103:N103"/>
    <mergeCell ref="R103:S103"/>
    <mergeCell ref="W103:Z108"/>
    <mergeCell ref="A104:B104"/>
    <mergeCell ref="F104:I104"/>
    <mergeCell ref="L104:N104"/>
    <mergeCell ref="R104:S104"/>
    <mergeCell ref="A105:B105"/>
    <mergeCell ref="A101:B101"/>
    <mergeCell ref="F101:I101"/>
    <mergeCell ref="L101:N101"/>
    <mergeCell ref="R101:S101"/>
    <mergeCell ref="W101:Y101"/>
    <mergeCell ref="A102:B102"/>
    <mergeCell ref="F102:I102"/>
    <mergeCell ref="L102:N102"/>
    <mergeCell ref="R102:S102"/>
    <mergeCell ref="W102:Y102"/>
    <mergeCell ref="A99:B99"/>
    <mergeCell ref="F99:I99"/>
    <mergeCell ref="L99:N99"/>
    <mergeCell ref="R99:S99"/>
    <mergeCell ref="W99:Y99"/>
    <mergeCell ref="A100:B100"/>
    <mergeCell ref="F100:I100"/>
    <mergeCell ref="L100:N100"/>
    <mergeCell ref="R100:S100"/>
    <mergeCell ref="W100:Y100"/>
    <mergeCell ref="A97:B97"/>
    <mergeCell ref="F97:I97"/>
    <mergeCell ref="L97:N97"/>
    <mergeCell ref="R97:S97"/>
    <mergeCell ref="W97:Y97"/>
    <mergeCell ref="A98:B98"/>
    <mergeCell ref="F98:I98"/>
    <mergeCell ref="L98:N98"/>
    <mergeCell ref="R98:S98"/>
    <mergeCell ref="W98:Y98"/>
    <mergeCell ref="A95:B95"/>
    <mergeCell ref="F95:J95"/>
    <mergeCell ref="L95:N95"/>
    <mergeCell ref="R95:S95"/>
    <mergeCell ref="W95:Y95"/>
    <mergeCell ref="A96:B96"/>
    <mergeCell ref="F96:I96"/>
    <mergeCell ref="L96:N96"/>
    <mergeCell ref="R96:S96"/>
    <mergeCell ref="W96:Y96"/>
    <mergeCell ref="A93:B93"/>
    <mergeCell ref="F93:H93"/>
    <mergeCell ref="L93:N93"/>
    <mergeCell ref="R93:S93"/>
    <mergeCell ref="W93:Y93"/>
    <mergeCell ref="A94:B94"/>
    <mergeCell ref="L94:N94"/>
    <mergeCell ref="R94:S94"/>
    <mergeCell ref="W94:Y94"/>
    <mergeCell ref="A91:B91"/>
    <mergeCell ref="F91:H91"/>
    <mergeCell ref="L91:P91"/>
    <mergeCell ref="W91:Z91"/>
    <mergeCell ref="A92:B92"/>
    <mergeCell ref="F92:H92"/>
    <mergeCell ref="L92:N92"/>
    <mergeCell ref="R92:U92"/>
    <mergeCell ref="W92:Y92"/>
    <mergeCell ref="A89:D89"/>
    <mergeCell ref="F89:H89"/>
    <mergeCell ref="L89:N89"/>
    <mergeCell ref="R89:S89"/>
    <mergeCell ref="W89:X89"/>
    <mergeCell ref="A90:B90"/>
    <mergeCell ref="F90:J90"/>
    <mergeCell ref="R90:S90"/>
    <mergeCell ref="A87:B87"/>
    <mergeCell ref="F87:H87"/>
    <mergeCell ref="L87:N87"/>
    <mergeCell ref="R87:S87"/>
    <mergeCell ref="W87:X87"/>
    <mergeCell ref="F88:H88"/>
    <mergeCell ref="L88:N88"/>
    <mergeCell ref="R88:S88"/>
    <mergeCell ref="W88:X88"/>
    <mergeCell ref="A85:B85"/>
    <mergeCell ref="F85:H85"/>
    <mergeCell ref="L85:N85"/>
    <mergeCell ref="R85:U85"/>
    <mergeCell ref="W85:X85"/>
    <mergeCell ref="A86:B86"/>
    <mergeCell ref="F86:J86"/>
    <mergeCell ref="L86:N86"/>
    <mergeCell ref="R86:S86"/>
    <mergeCell ref="W86:X86"/>
    <mergeCell ref="A83:B83"/>
    <mergeCell ref="F83:H83"/>
    <mergeCell ref="L83:N83"/>
    <mergeCell ref="R83:S83"/>
    <mergeCell ref="W83:X83"/>
    <mergeCell ref="A84:B84"/>
    <mergeCell ref="F84:H84"/>
    <mergeCell ref="L84:N84"/>
    <mergeCell ref="W84:X84"/>
    <mergeCell ref="A81:B81"/>
    <mergeCell ref="F81:H81"/>
    <mergeCell ref="L81:N81"/>
    <mergeCell ref="R81:S81"/>
    <mergeCell ref="W81:X81"/>
    <mergeCell ref="A82:B82"/>
    <mergeCell ref="F82:J82"/>
    <mergeCell ref="L82:N82"/>
    <mergeCell ref="R82:S82"/>
    <mergeCell ref="W82:X82"/>
    <mergeCell ref="A79:B79"/>
    <mergeCell ref="F79:H79"/>
    <mergeCell ref="L79:N79"/>
    <mergeCell ref="R79:S79"/>
    <mergeCell ref="W79:Z79"/>
    <mergeCell ref="A80:B80"/>
    <mergeCell ref="F80:H80"/>
    <mergeCell ref="L80:N80"/>
    <mergeCell ref="R80:S80"/>
    <mergeCell ref="W80:X80"/>
    <mergeCell ref="A77:B77"/>
    <mergeCell ref="F77:H77"/>
    <mergeCell ref="L77:N77"/>
    <mergeCell ref="R77:S77"/>
    <mergeCell ref="W77:X77"/>
    <mergeCell ref="A78:B78"/>
    <mergeCell ref="F78:H78"/>
    <mergeCell ref="L78:N78"/>
    <mergeCell ref="R78:S78"/>
    <mergeCell ref="A75:B75"/>
    <mergeCell ref="F75:H75"/>
    <mergeCell ref="L75:N75"/>
    <mergeCell ref="R75:S75"/>
    <mergeCell ref="W75:X75"/>
    <mergeCell ref="A76:B76"/>
    <mergeCell ref="F76:H76"/>
    <mergeCell ref="L76:N76"/>
    <mergeCell ref="R76:S76"/>
    <mergeCell ref="W76:X76"/>
    <mergeCell ref="A73:B73"/>
    <mergeCell ref="F73:H73"/>
    <mergeCell ref="L73:N73"/>
    <mergeCell ref="R73:S73"/>
    <mergeCell ref="W73:Z73"/>
    <mergeCell ref="A74:B74"/>
    <mergeCell ref="F74:H74"/>
    <mergeCell ref="L74:N74"/>
    <mergeCell ref="R74:S74"/>
    <mergeCell ref="W74:X74"/>
    <mergeCell ref="A71:B71"/>
    <mergeCell ref="F71:H71"/>
    <mergeCell ref="L71:N71"/>
    <mergeCell ref="R71:S71"/>
    <mergeCell ref="W71:X71"/>
    <mergeCell ref="A72:B72"/>
    <mergeCell ref="F72:H72"/>
    <mergeCell ref="L72:N72"/>
    <mergeCell ref="R72:S72"/>
    <mergeCell ref="A69:B69"/>
    <mergeCell ref="F69:H69"/>
    <mergeCell ref="L69:P69"/>
    <mergeCell ref="R69:S69"/>
    <mergeCell ref="W69:X69"/>
    <mergeCell ref="A70:B70"/>
    <mergeCell ref="F70:H70"/>
    <mergeCell ref="L70:N70"/>
    <mergeCell ref="R70:S70"/>
    <mergeCell ref="W70:X70"/>
    <mergeCell ref="A67:B67"/>
    <mergeCell ref="F67:H67"/>
    <mergeCell ref="L67:N67"/>
    <mergeCell ref="R67:S67"/>
    <mergeCell ref="W67:X67"/>
    <mergeCell ref="A68:B68"/>
    <mergeCell ref="F68:H68"/>
    <mergeCell ref="R68:S68"/>
    <mergeCell ref="W68:X68"/>
    <mergeCell ref="A65:B65"/>
    <mergeCell ref="F65:H65"/>
    <mergeCell ref="L65:N65"/>
    <mergeCell ref="R65:S65"/>
    <mergeCell ref="W65:X65"/>
    <mergeCell ref="A66:B66"/>
    <mergeCell ref="F66:H66"/>
    <mergeCell ref="L66:N66"/>
    <mergeCell ref="R66:S66"/>
    <mergeCell ref="W66:X66"/>
    <mergeCell ref="A63:B63"/>
    <mergeCell ref="F63:H63"/>
    <mergeCell ref="L63:N63"/>
    <mergeCell ref="R63:S63"/>
    <mergeCell ref="W63:X63"/>
    <mergeCell ref="A64:B64"/>
    <mergeCell ref="F64:H64"/>
    <mergeCell ref="L64:N64"/>
    <mergeCell ref="R64:S64"/>
    <mergeCell ref="W64:X64"/>
    <mergeCell ref="A61:B61"/>
    <mergeCell ref="F61:H61"/>
    <mergeCell ref="L61:N61"/>
    <mergeCell ref="W61:X61"/>
    <mergeCell ref="A62:B62"/>
    <mergeCell ref="F62:H62"/>
    <mergeCell ref="L62:P62"/>
    <mergeCell ref="R62:U62"/>
    <mergeCell ref="W62:X62"/>
    <mergeCell ref="A59:B59"/>
    <mergeCell ref="F59:H59"/>
    <mergeCell ref="L59:N59"/>
    <mergeCell ref="R59:S59"/>
    <mergeCell ref="W59:X59"/>
    <mergeCell ref="A60:B60"/>
    <mergeCell ref="F60:H60"/>
    <mergeCell ref="L60:N60"/>
    <mergeCell ref="R60:S60"/>
    <mergeCell ref="W60:X60"/>
    <mergeCell ref="A57:B57"/>
    <mergeCell ref="F57:H57"/>
    <mergeCell ref="L57:N57"/>
    <mergeCell ref="R57:S57"/>
    <mergeCell ref="W57:X57"/>
    <mergeCell ref="A58:B58"/>
    <mergeCell ref="F58:H58"/>
    <mergeCell ref="L58:N58"/>
    <mergeCell ref="R58:S58"/>
    <mergeCell ref="W58:X58"/>
    <mergeCell ref="A55:B55"/>
    <mergeCell ref="F55:H55"/>
    <mergeCell ref="L55:N55"/>
    <mergeCell ref="R55:S55"/>
    <mergeCell ref="W55:X55"/>
    <mergeCell ref="A56:B56"/>
    <mergeCell ref="F56:H56"/>
    <mergeCell ref="L56:N56"/>
    <mergeCell ref="R56:S56"/>
    <mergeCell ref="W56:X56"/>
    <mergeCell ref="A53:D53"/>
    <mergeCell ref="F53:J53"/>
    <mergeCell ref="L53:P53"/>
    <mergeCell ref="R53:U53"/>
    <mergeCell ref="W53:Z53"/>
    <mergeCell ref="A54:B54"/>
    <mergeCell ref="F54:H54"/>
    <mergeCell ref="L54:N54"/>
    <mergeCell ref="R54:S54"/>
    <mergeCell ref="W54:X54"/>
    <mergeCell ref="L45:N45"/>
    <mergeCell ref="Q45:R45"/>
    <mergeCell ref="L46:N46"/>
    <mergeCell ref="L47:N47"/>
    <mergeCell ref="A49:Z51"/>
    <mergeCell ref="A52:Z52"/>
    <mergeCell ref="A43:C43"/>
    <mergeCell ref="F43:I43"/>
    <mergeCell ref="L43:N43"/>
    <mergeCell ref="Q43:R43"/>
    <mergeCell ref="A44:C44"/>
    <mergeCell ref="F44:I44"/>
    <mergeCell ref="L44:N44"/>
    <mergeCell ref="Q44:R44"/>
    <mergeCell ref="A41:C41"/>
    <mergeCell ref="F41:I41"/>
    <mergeCell ref="L41:N41"/>
    <mergeCell ref="Q41:R41"/>
    <mergeCell ref="A42:C42"/>
    <mergeCell ref="F42:I42"/>
    <mergeCell ref="L42:N42"/>
    <mergeCell ref="Q42:R42"/>
    <mergeCell ref="A39:C39"/>
    <mergeCell ref="F39:I39"/>
    <mergeCell ref="Q39:R39"/>
    <mergeCell ref="A40:C40"/>
    <mergeCell ref="F40:I40"/>
    <mergeCell ref="L40:O40"/>
    <mergeCell ref="Q40:R40"/>
    <mergeCell ref="A37:C37"/>
    <mergeCell ref="L37:N37"/>
    <mergeCell ref="Q37:R37"/>
    <mergeCell ref="A38:C38"/>
    <mergeCell ref="F38:J38"/>
    <mergeCell ref="L38:N38"/>
    <mergeCell ref="Q38:R38"/>
    <mergeCell ref="A36:C36"/>
    <mergeCell ref="F36:I36"/>
    <mergeCell ref="L36:N36"/>
    <mergeCell ref="Q36:R36"/>
    <mergeCell ref="U36:X36"/>
    <mergeCell ref="Y36:Z36"/>
    <mergeCell ref="A35:C35"/>
    <mergeCell ref="F35:I35"/>
    <mergeCell ref="L35:N35"/>
    <mergeCell ref="Q35:R35"/>
    <mergeCell ref="U35:X35"/>
    <mergeCell ref="Y35:Z35"/>
    <mergeCell ref="A34:C34"/>
    <mergeCell ref="F34:I34"/>
    <mergeCell ref="L34:N34"/>
    <mergeCell ref="Q34:R34"/>
    <mergeCell ref="U34:X34"/>
    <mergeCell ref="Y34:Z34"/>
    <mergeCell ref="A33:C33"/>
    <mergeCell ref="F33:I33"/>
    <mergeCell ref="L33:N33"/>
    <mergeCell ref="Q33:R33"/>
    <mergeCell ref="U33:X33"/>
    <mergeCell ref="Y33:Z33"/>
    <mergeCell ref="A32:C32"/>
    <mergeCell ref="F32:I32"/>
    <mergeCell ref="L32:N32"/>
    <mergeCell ref="Q32:R32"/>
    <mergeCell ref="U32:X32"/>
    <mergeCell ref="Y32:Z32"/>
    <mergeCell ref="A31:C31"/>
    <mergeCell ref="F31:J31"/>
    <mergeCell ref="L31:N31"/>
    <mergeCell ref="Q31:R31"/>
    <mergeCell ref="U31:X31"/>
    <mergeCell ref="Y31:Z31"/>
    <mergeCell ref="A29:C29"/>
    <mergeCell ref="F29:I29"/>
    <mergeCell ref="Q29:R29"/>
    <mergeCell ref="U29:X29"/>
    <mergeCell ref="Y29:Z29"/>
    <mergeCell ref="A30:C30"/>
    <mergeCell ref="L30:O30"/>
    <mergeCell ref="Q30:R30"/>
    <mergeCell ref="U30:X30"/>
    <mergeCell ref="Y30:Z30"/>
    <mergeCell ref="Y27:Z27"/>
    <mergeCell ref="A28:C28"/>
    <mergeCell ref="F28:I28"/>
    <mergeCell ref="L28:N28"/>
    <mergeCell ref="Q28:R28"/>
    <mergeCell ref="U28:X28"/>
    <mergeCell ref="Y28:Z28"/>
    <mergeCell ref="A26:D26"/>
    <mergeCell ref="F26:I26"/>
    <mergeCell ref="L26:N26"/>
    <mergeCell ref="U26:X26"/>
    <mergeCell ref="Y26:Z26"/>
    <mergeCell ref="A27:C27"/>
    <mergeCell ref="F27:I27"/>
    <mergeCell ref="L27:N27"/>
    <mergeCell ref="Q27:S27"/>
    <mergeCell ref="U27:X27"/>
    <mergeCell ref="A25:B25"/>
    <mergeCell ref="F25:I25"/>
    <mergeCell ref="L25:N25"/>
    <mergeCell ref="Q25:R25"/>
    <mergeCell ref="U25:X25"/>
    <mergeCell ref="Y25:Z25"/>
    <mergeCell ref="U23:Z23"/>
    <mergeCell ref="A24:C24"/>
    <mergeCell ref="F24:I24"/>
    <mergeCell ref="L24:O24"/>
    <mergeCell ref="Q24:R24"/>
    <mergeCell ref="U24:X24"/>
    <mergeCell ref="Y24:Z24"/>
    <mergeCell ref="A22:C22"/>
    <mergeCell ref="F22:I22"/>
    <mergeCell ref="L22:N22"/>
    <mergeCell ref="Q22:R22"/>
    <mergeCell ref="A23:C23"/>
    <mergeCell ref="F23:I23"/>
    <mergeCell ref="Q23:R23"/>
    <mergeCell ref="A20:C20"/>
    <mergeCell ref="F20:I20"/>
    <mergeCell ref="L20:N20"/>
    <mergeCell ref="Q20:S20"/>
    <mergeCell ref="U20:X20"/>
    <mergeCell ref="A21:C21"/>
    <mergeCell ref="F21:I21"/>
    <mergeCell ref="L21:N21"/>
    <mergeCell ref="Q21:R21"/>
    <mergeCell ref="U21:X21"/>
    <mergeCell ref="A18:C18"/>
    <mergeCell ref="F18:J18"/>
    <mergeCell ref="L18:N18"/>
    <mergeCell ref="Q18:R18"/>
    <mergeCell ref="U18:X18"/>
    <mergeCell ref="A19:C19"/>
    <mergeCell ref="F19:I19"/>
    <mergeCell ref="L19:N19"/>
    <mergeCell ref="U19:X19"/>
    <mergeCell ref="A16:C16"/>
    <mergeCell ref="F16:I16"/>
    <mergeCell ref="L16:N16"/>
    <mergeCell ref="Q16:R16"/>
    <mergeCell ref="U16:X16"/>
    <mergeCell ref="A17:C17"/>
    <mergeCell ref="L17:N17"/>
    <mergeCell ref="Q17:R17"/>
    <mergeCell ref="U17:X17"/>
    <mergeCell ref="A14:C14"/>
    <mergeCell ref="F14:I14"/>
    <mergeCell ref="L14:N14"/>
    <mergeCell ref="Q14:R14"/>
    <mergeCell ref="U14:X14"/>
    <mergeCell ref="A15:C15"/>
    <mergeCell ref="F15:I15"/>
    <mergeCell ref="L15:N15"/>
    <mergeCell ref="Q15:R15"/>
    <mergeCell ref="U15:X15"/>
    <mergeCell ref="A12:C12"/>
    <mergeCell ref="F12:I12"/>
    <mergeCell ref="L12:N12"/>
    <mergeCell ref="Q12:R12"/>
    <mergeCell ref="U12:X12"/>
    <mergeCell ref="A13:C13"/>
    <mergeCell ref="F13:I13"/>
    <mergeCell ref="L13:N13"/>
    <mergeCell ref="Q13:R13"/>
    <mergeCell ref="U13:X13"/>
    <mergeCell ref="A10:C10"/>
    <mergeCell ref="F10:I10"/>
    <mergeCell ref="L10:N10"/>
    <mergeCell ref="Q10:R10"/>
    <mergeCell ref="U10:X10"/>
    <mergeCell ref="A11:C11"/>
    <mergeCell ref="F11:I11"/>
    <mergeCell ref="L11:N11"/>
    <mergeCell ref="Q11:S11"/>
    <mergeCell ref="U11:X11"/>
    <mergeCell ref="A8:C8"/>
    <mergeCell ref="F8:I8"/>
    <mergeCell ref="L8:N8"/>
    <mergeCell ref="Q8:R8"/>
    <mergeCell ref="U8:X8"/>
    <mergeCell ref="A9:C9"/>
    <mergeCell ref="F9:I9"/>
    <mergeCell ref="L9:N9"/>
    <mergeCell ref="Q9:R9"/>
    <mergeCell ref="U9:X9"/>
    <mergeCell ref="A6:C6"/>
    <mergeCell ref="F6:I6"/>
    <mergeCell ref="L6:N6"/>
    <mergeCell ref="Q6:R6"/>
    <mergeCell ref="U6:X6"/>
    <mergeCell ref="A7:C7"/>
    <mergeCell ref="F7:I7"/>
    <mergeCell ref="L7:N7"/>
    <mergeCell ref="Q7:R7"/>
    <mergeCell ref="U7:X7"/>
    <mergeCell ref="A1:Z3"/>
    <mergeCell ref="A4:Z4"/>
    <mergeCell ref="A5:D5"/>
    <mergeCell ref="F5:J5"/>
    <mergeCell ref="L5:O5"/>
    <mergeCell ref="Q5:S5"/>
    <mergeCell ref="U5:Z5"/>
  </mergeCells>
  <dataValidations count="7">
    <dataValidation allowBlank="1" showInputMessage="1" showErrorMessage="1" promptTitle="注" prompt="50% 哑弹率" sqref="W102:Y102" xr:uid="{D1CAD0F5-97CC-4895-9097-6622AB12DC22}"/>
    <dataValidation allowBlank="1" showInputMessage="1" showErrorMessage="1" promptTitle="注" prompt="哑弹率30%" sqref="W99:Y99" xr:uid="{FF35D39B-317C-4E6B-A7B5-8293A1C8E87F}"/>
    <dataValidation allowBlank="1" showInputMessage="1" showErrorMessage="1" promptTitle="注" prompt="悬停25秒" sqref="W100:Y100" xr:uid="{1005EDE0-31D6-43BF-967D-555650C3D863}"/>
    <dataValidation allowBlank="1" showInputMessage="1" showErrorMessage="1" promptTitle="注" prompt="和信号枪一样_x000a_价格跟武器表不一样_x000a_嘛，看kp啦" sqref="Y28:Z28" xr:uid="{6C5E4B22-9375-45B6-94E1-CCA7EE831B42}"/>
    <dataValidation allowBlank="1" showInputMessage="1" showErrorMessage="1" promptTitle="注" prompt="和信号枪一样_x000a_这个价格也和武器表不一样_x000a_嘛，主要看dm怎么觉定啦" sqref="Z29" xr:uid="{1898DC4A-A504-494D-B12B-7BBE1374113F}"/>
    <dataValidation allowBlank="1" showInputMessage="1" showErrorMessage="1" promptTitle="注" prompt="不知道为什么，物价表的信号枪价值100美元。_x000a_武器列表的信号枪却价值75美元了。_x000a_我觉得可能是求生和军用的区别吧？" sqref="O22" xr:uid="{1B8D10BC-C004-4CED-B75A-1212B0AA630C}"/>
    <dataValidation allowBlank="1" showInputMessage="1" showErrorMessage="1" promptTitle="注" prompt="价格在$3000 以下的，准确射程不到 200 码" sqref="W101:Y101" xr:uid="{2ABA3A57-A076-46DC-8773-9DBDA2204BF5}"/>
  </dataValidations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Xiao （肖乐乐）</dc:creator>
  <cp:lastModifiedBy>Lex Xiao （肖乐乐）</cp:lastModifiedBy>
  <dcterms:created xsi:type="dcterms:W3CDTF">2025-11-26T04:27:44Z</dcterms:created>
  <dcterms:modified xsi:type="dcterms:W3CDTF">2025-11-26T04:28:04Z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2025-11-26T04:28:00Z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2902e57b-9a12-4c86-9c59-81249f0282f1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