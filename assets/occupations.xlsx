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SHELF\COC\mingriAgency\assets\"/>
    </mc:Choice>
  </mc:AlternateContent>
  <xr:revisionPtr revIDLastSave="0" documentId="8_{AF880338-7035-456E-B0B1-DC58F5B38CA0}" xr6:coauthVersionLast="47" xr6:coauthVersionMax="47" xr10:uidLastSave="{00000000-0000-0000-0000-000000000000}"/>
  <bookViews>
    <workbookView xWindow="-120" yWindow="-120" windowWidth="29040" windowHeight="15720" xr2:uid="{A89F8FCE-7E5F-45A1-B3DE-AF7A52CCDB02}"/>
  </bookViews>
  <sheets>
    <sheet name="Sheet1" sheetId="1" r:id="rId1"/>
  </sheets>
  <externalReferences>
    <externalReference r:id="rId2"/>
  </externalReferences>
  <definedNames>
    <definedName name="APP">[1]人物卡!$AA$5</definedName>
    <definedName name="DEX">[1]人物卡!$AA$3</definedName>
    <definedName name="EDU">[1]人物卡!$AG$5</definedName>
    <definedName name="POW">[1]人物卡!$AG$3</definedName>
    <definedName name="STR">[1]人物卡!$U$3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2" i="1" l="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G3" i="1"/>
  <c r="F3" i="1"/>
  <c r="E3" i="1"/>
  <c r="B3" i="1"/>
</calcChain>
</file>

<file path=xl/sharedStrings.xml><?xml version="1.0" encoding="utf-8"?>
<sst xmlns="http://schemas.openxmlformats.org/spreadsheetml/2006/main" count="1342" uniqueCount="815">
  <si>
    <t>序号</t>
  </si>
  <si>
    <t>职业</t>
  </si>
  <si>
    <t>信用评级</t>
  </si>
  <si>
    <t>职业属性</t>
  </si>
  <si>
    <t>技能点</t>
  </si>
  <si>
    <t>本职技能</t>
  </si>
  <si>
    <t>推荐关系人</t>
  </si>
  <si>
    <t>职业介绍</t>
  </si>
  <si>
    <t>选择职业序号为0，则清除职业模板提示和点数计算器。</t>
    <phoneticPr fontId="0" type="noConversion"/>
  </si>
  <si>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</si>
  <si>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</si>
  <si>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</si>
  <si>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</si>
  <si>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</si>
  <si>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</si>
  <si>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</si>
  <si>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</si>
  <si>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</si>
  <si>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</si>
  <si>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</si>
  <si>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</si>
  <si>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</si>
  <si>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</si>
  <si>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</si>
  <si>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</si>
  <si>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</si>
  <si>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</si>
  <si>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</si>
  <si>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</si>
  <si>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</si>
  <si>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</si>
  <si>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</si>
  <si>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</si>
  <si>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</si>
  <si>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</si>
  <si>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</si>
  <si>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</si>
  <si>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</si>
  <si>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</si>
  <si>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</si>
  <si>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</si>
  <si>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</si>
  <si>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</si>
  <si>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</si>
  <si>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</si>
  <si>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</si>
  <si>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</si>
  <si>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</si>
  <si>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</si>
  <si>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</si>
  <si>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</si>
  <si>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</si>
  <si>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</si>
  <si>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</si>
  <si>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</si>
  <si>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</si>
  <si>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</si>
  <si>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</si>
  <si>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</si>
  <si>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</si>
  <si>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</si>
  <si>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</si>
  <si>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</si>
  <si>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</si>
  <si>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</si>
  <si>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</si>
  <si>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</si>
  <si>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</si>
  <si>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</si>
  <si>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</si>
  <si>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</si>
  <si>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</si>
  <si>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</si>
  <si>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</si>
  <si>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</si>
  <si>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</si>
  <si>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</si>
  <si>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</si>
  <si>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</si>
  <si>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</si>
  <si>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</si>
  <si>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</si>
  <si>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</si>
  <si>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</si>
  <si>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</si>
  <si>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</si>
  <si>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</si>
  <si>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</si>
  <si>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</si>
  <si>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</si>
  <si>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</si>
  <si>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</si>
  <si>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</si>
  <si>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</si>
  <si>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</si>
  <si>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</si>
  <si>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</si>
  <si>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</si>
  <si>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</si>
  <si>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</si>
  <si>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</si>
  <si>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</si>
  <si>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</si>
  <si>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</si>
  <si>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</si>
  <si>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</si>
  <si>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</si>
  <si>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</si>
  <si>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</si>
  <si>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</si>
  <si>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</si>
  <si>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</si>
  <si>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</si>
  <si>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</si>
  <si>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</si>
  <si>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</si>
  <si>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神职人员</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</si>
  <si>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</si>
  <si>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</si>
  <si>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</si>
  <si>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</si>
  <si>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</si>
  <si>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</si>
  <si>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</si>
  <si>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</si>
  <si>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</si>
  <si>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</si>
  <si>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</si>
  <si>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</si>
  <si>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</si>
  <si>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</si>
  <si>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</si>
  <si>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</si>
  <si>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</si>
  <si>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</si>
  <si>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</si>
  <si>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</si>
  <si>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</si>
  <si>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</si>
  <si>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</si>
  <si>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</si>
  <si>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</si>
  <si>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</si>
  <si>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</si>
  <si>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</si>
  <si>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</si>
  <si>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</si>
  <si>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</si>
  <si>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</si>
  <si>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</si>
  <si>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</si>
  <si>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</si>
  <si>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</si>
  <si>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</si>
  <si>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</si>
  <si>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</si>
  <si>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</si>
  <si>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</si>
  <si>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</si>
  <si>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</si>
  <si>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</si>
  <si>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</si>
  <si>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</si>
  <si>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</si>
  <si>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</si>
  <si>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</si>
  <si>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</si>
  <si>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</si>
  <si>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</si>
  <si>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</si>
  <si>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</si>
  <si>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</si>
  <si>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</si>
  <si>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</si>
  <si>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</si>
  <si>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</si>
  <si>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</si>
  <si>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</si>
  <si>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</si>
  <si>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</si>
  <si>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</si>
  <si>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</si>
  <si>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phoneticPr fontId="0" type="noConversion"/>
  </si>
  <si>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</si>
  <si>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</si>
  <si>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</si>
  <si>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</si>
  <si>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</si>
  <si>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</si>
  <si>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</si>
  <si>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</si>
  <si>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</si>
  <si>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</si>
  <si>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</si>
  <si>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</si>
  <si>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</si>
  <si>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</si>
  <si>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</si>
  <si>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</si>
  <si>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</si>
  <si>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phoneticPr fontId="0" type="noConversion"/>
  </si>
  <si>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</si>
  <si>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</si>
  <si>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</si>
  <si>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</si>
  <si>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</si>
  <si>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</si>
  <si>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</si>
  <si>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</si>
  <si>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</si>
  <si>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</si>
  <si>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</si>
  <si>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</si>
  <si>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</si>
  <si>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</si>
  <si>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</si>
  <si>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</si>
  <si>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</si>
  <si>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</si>
  <si>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</si>
  <si>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</si>
  <si>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</si>
  <si>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</si>
  <si>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</si>
  <si>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</si>
  <si>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</si>
  <si>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</si>
  <si>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</si>
  <si>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</si>
  <si>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</si>
  <si>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</si>
  <si>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</si>
  <si>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</si>
  <si>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</si>
  <si>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</si>
  <si>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</si>
  <si>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</si>
  <si>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</si>
  <si>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</si>
  <si>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</si>
  <si>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</si>
  <si>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</si>
  <si>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</si>
  <si>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</si>
  <si>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</si>
  <si>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</si>
  <si>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</si>
  <si>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</si>
  <si>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</si>
  <si>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</si>
  <si>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</si>
  <si>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</si>
  <si>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</si>
  <si>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</si>
  <si>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</si>
  <si>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</si>
  <si>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</si>
  <si>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</si>
  <si>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</si>
  <si>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</si>
  <si>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</si>
  <si>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</si>
  <si>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</si>
  <si>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</si>
  <si>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</si>
  <si>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</si>
  <si>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</si>
  <si>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</si>
  <si>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</si>
  <si>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</si>
  <si>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</si>
  <si>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</si>
  <si>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</si>
  <si>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</si>
  <si>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</si>
  <si>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</si>
  <si>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</si>
  <si>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</si>
  <si>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</si>
  <si>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</si>
  <si>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</si>
  <si>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</si>
  <si>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</si>
  <si>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</si>
  <si>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</si>
  <si>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</si>
  <si>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</si>
  <si>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</si>
  <si>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</si>
  <si>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</si>
  <si>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</si>
  <si>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</si>
  <si>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</si>
  <si>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</si>
  <si>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</si>
  <si>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</si>
  <si>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</si>
  <si>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</si>
  <si>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</si>
  <si>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</si>
  <si>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</si>
  <si>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</si>
  <si>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</si>
  <si>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</si>
  <si>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</si>
  <si>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</si>
  <si>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</si>
  <si>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</si>
  <si>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</si>
  <si>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</si>
  <si>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</si>
  <si>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</si>
  <si>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</si>
  <si>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</si>
  <si>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</si>
  <si>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</si>
  <si>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</si>
  <si>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</si>
  <si>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</si>
  <si>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</si>
  <si>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</si>
  <si>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</si>
  <si>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</si>
  <si>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</si>
  <si>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</si>
  <si>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</si>
  <si>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</si>
  <si>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</si>
  <si>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</si>
  <si>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</si>
  <si>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</si>
  <si>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</si>
  <si>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</si>
  <si>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</si>
  <si>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</si>
  <si>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</si>
  <si>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</si>
  <si>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</si>
  <si>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</si>
  <si>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</si>
  <si>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</si>
  <si>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</si>
  <si>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</si>
  <si>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</si>
  <si>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</si>
  <si>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</si>
  <si>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</si>
  <si>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</si>
  <si>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</si>
  <si>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</si>
  <si>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</si>
  <si>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</si>
  <si>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</si>
  <si>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</si>
  <si>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</si>
  <si>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</si>
  <si>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</si>
  <si>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</si>
  <si>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</si>
  <si>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</si>
  <si>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</si>
  <si>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</si>
  <si>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</si>
  <si>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</si>
  <si>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</si>
  <si>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</si>
  <si>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</si>
  <si>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</si>
  <si>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</si>
  <si>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</si>
  <si>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</si>
  <si>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</si>
  <si>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</si>
  <si>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</si>
  <si>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</si>
  <si>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</si>
  <si>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</si>
  <si>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</si>
  <si>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</si>
  <si>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</si>
  <si>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</si>
  <si>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</si>
  <si>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</si>
  <si>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</si>
  <si>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</si>
  <si>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</si>
  <si>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</si>
  <si>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</si>
  <si>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</si>
  <si>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</si>
  <si>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</si>
  <si>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</si>
  <si>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</si>
  <si>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</si>
  <si>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</si>
  <si>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</si>
  <si>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</si>
  <si>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</si>
  <si>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</si>
  <si>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</si>
  <si>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</si>
  <si>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</si>
  <si>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</si>
  <si>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</si>
  <si>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</si>
  <si>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</si>
  <si>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</si>
  <si>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</si>
  <si>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</si>
  <si>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</si>
  <si>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</si>
  <si>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</si>
  <si>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</si>
  <si>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</si>
  <si>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</si>
  <si>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</si>
  <si>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</si>
  <si>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</si>
  <si>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</si>
  <si>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</si>
  <si>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</si>
  <si>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</si>
  <si>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</si>
  <si>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</si>
  <si>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</si>
  <si>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</si>
  <si>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</si>
  <si>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</si>
  <si>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</si>
  <si>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</si>
  <si>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</si>
  <si>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</si>
  <si>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</si>
  <si>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</si>
  <si>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</si>
  <si>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</si>
  <si>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</si>
  <si>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</si>
  <si>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</si>
  <si>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</si>
  <si>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</si>
  <si>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</si>
  <si>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</si>
  <si>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</si>
  <si>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</si>
  <si>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</si>
  <si>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</si>
  <si>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</si>
  <si>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</si>
  <si>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</si>
  <si>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</si>
  <si>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</si>
  <si>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</si>
  <si>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</si>
  <si>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</si>
  <si>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</si>
  <si>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</si>
  <si>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</si>
  <si>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</si>
  <si>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</si>
  <si>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</si>
  <si>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</si>
  <si>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</si>
  <si>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</si>
  <si>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</si>
  <si>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</si>
  <si>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</si>
  <si>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</si>
  <si>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</si>
  <si>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</si>
  <si>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</si>
  <si>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</si>
  <si>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</si>
  <si>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</si>
  <si>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</si>
  <si>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</si>
  <si>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</si>
  <si>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</si>
  <si>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</si>
  <si>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</si>
  <si>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</si>
  <si>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</si>
  <si>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</si>
  <si>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</si>
  <si>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</si>
  <si>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</si>
  <si>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</si>
  <si>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</si>
  <si>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</si>
  <si>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</si>
  <si>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</si>
  <si>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</si>
  <si>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</si>
  <si>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</si>
  <si>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</si>
  <si>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</si>
  <si>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</si>
  <si>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</si>
  <si>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</si>
  <si>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</si>
  <si>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</si>
  <si>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</si>
  <si>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</si>
  <si>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</si>
  <si>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</si>
  <si>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</si>
  <si>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</si>
  <si>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</si>
  <si>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</si>
  <si>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</si>
  <si>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</si>
  <si>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</si>
  <si>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</si>
  <si>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</si>
  <si>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</si>
  <si>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</si>
  <si>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</si>
  <si>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</si>
  <si>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</si>
  <si>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</si>
  <si>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</si>
  <si>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</si>
  <si>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</si>
  <si>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</si>
  <si>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</si>
  <si>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</si>
  <si>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</si>
  <si>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</si>
  <si>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</si>
  <si>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</si>
  <si>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</si>
  <si>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</si>
  <si>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</si>
  <si>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</si>
  <si>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</si>
  <si>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</si>
  <si>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</si>
  <si>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</si>
  <si>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</si>
  <si>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</si>
  <si>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</si>
  <si>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</si>
  <si>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</si>
  <si>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</si>
  <si>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</si>
  <si>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</si>
  <si>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</si>
  <si>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</si>
  <si>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</si>
  <si>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</si>
  <si>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</si>
  <si>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警察，法庭，街头路人，犯罪组织，赏金猎人。</t>
  </si>
  <si>
    <t>神职人员(天主教牧师)</t>
  </si>
  <si>
    <t>会计，母语，外语(拉丁文)，图书馆，神秘学，一项社交技能（取悦、话术、恐吓、说服），心理学，任意一项其他技能。</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</si>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</sst>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rial"/>
      <family val="2"/>
      <charset val="134"/>
    </font>
    <font>
      <sz val="11"/>
      <color rgb="FFFFFFFF"/>
      <name val="微软雅黑 Light"/>
      <family val="2"/>
      <charset val="134"/>
    </font>
    <font>
      <sz val="11"/>
      <color rgb="FF000000"/>
      <name val="微软雅黑 Light"/>
      <family val="2"/>
      <charset val="134"/>
    </font>
    <font>
      <sz val="11"/>
      <name val="微软雅黑 Light"/>
      <family val="2"/>
      <charset val="134"/>
    </font>
    <font>
      <sz val="11"/>
      <color rgb="FFC00000"/>
      <name val="微软雅黑 Light"/>
      <family val="2"/>
      <charset val="134"/>
    </font>
    <font>
      <sz val="11"/>
      <color rgb="FF000000"/>
      <name val="宋体"/>
      <family val="3"/>
      <charset val="134"/>
    </font>
    <font>
      <sz val="10"/>
      <color rgb="FF000000"/>
      <name val="微软雅黑 Light"/>
      <family val="2"/>
      <charset val="134"/>
    </font>
    <font>
      <sz val="11"/>
      <color indexed="8"/>
      <name val="微软雅黑 Light"/>
      <family val="2"/>
      <charset val="134"/>
    </font>
    <font>
      <sz val="11"/>
      <name val="等线"/>
      <family val="3"/>
      <charset val="134"/>
    </font>
    <font>
      <b/>
      <sz val="11"/>
      <color rgb="FFFF0000"/>
      <name val="微软雅黑 Light"/>
      <family val="2"/>
      <charset val="134"/>
    </font>
    <font>
      <b/>
      <sz val="11"/>
      <color indexed="10"/>
      <name val="微软雅黑 Light"/>
      <family val="2"/>
      <charset val="134"/>
    </font>
    <font>
      <sz val="12"/>
      <name val="等线"/>
      <family val="3"/>
      <charset val="134"/>
    </font>
    <font>
      <sz val="12"/>
      <color rgb="FF000000"/>
      <name val="等线"/>
      <family val="3"/>
      <charset val="134"/>
    </font>
  </fonts>
  <fills count="11">
    <fill>
      <patternFill patternType="none"/>
    </fill>
    <fill>
      <patternFill patternType="gray125"/>
    </fill>
    <fill>
      <patternFill patternType="solid">
        <fgColor rgb="FF2F75B6"/>
        <bgColor indexed="64"/>
      </patternFill>
    </fill>
    <fill>
      <patternFill patternType="solid">
        <fgColor rgb="FFFFFFFF"/>
        <bgColor indexed="64"/>
      </patternFill>
    </fill>
    <fill>
      <patternFill patternType="solid">
        <fgColor rgb="FFC5E0B3"/>
        <bgColor indexed="64"/>
      </patternFill>
    </fill>
    <fill>
      <patternFill patternType="solid">
        <fgColor rgb="FFCCFECC"/>
        <bgColor indexed="64"/>
      </patternFill>
    </fill>
    <fill>
      <patternFill patternType="solid">
        <fgColor rgb="FFFFE5E5"/>
        <bgColor indexed="64"/>
      </patternFill>
    </fill>
    <fill>
      <patternFill patternType="solid">
        <fgColor rgb="FFDEEAF6"/>
        <bgColor indexed="64"/>
      </patternFill>
    </fill>
    <fill>
      <patternFill patternType="solid">
        <fgColor rgb="FFDEEAF6"/>
        <bgColor rgb="FFDEEAF6"/>
      </patternFill>
    </fill>
    <fill>
      <patternFill patternType="solid">
        <fgColor rgb="FF9DC3E5"/>
        <bgColor indexed="64"/>
      </patternFill>
    </fill>
    <fill>
      <patternFill patternType="solid">
        <fgColor rgb="FFDEEBF6"/>
        <bgColor indexed="64"/>
      </patternFill>
    </fill>
  </fills>
  <borders count="2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auto="1"/>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thin">
        <color auto="1"/>
      </left>
      <right style="thin">
        <color auto="1"/>
      </right>
      <top style="thin">
        <color auto="1"/>
      </top>
      <bottom/>
      <diagonal/>
    </border>
  </borders>
  <cellStyleXfs count="1">
    <xf numFmtId="0" fontId="0" fillId="0" borderId="0"/>
  </cellStyleXfs>
  <cellXfs count="97">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5" fillId="0" borderId="0" xfId="0" applyFont="1" applyAlignment="1">
      <alignment vertical="center"/>
    </xf>
    <xf numFmtId="0" fontId="3" fillId="3" borderId="0" xfId="0" applyFont="1" applyFill="1"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centerContinuous" vertic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left" vertical="center"/>
    </xf>
    <xf numFmtId="0" fontId="2" fillId="0" borderId="0" xfId="0" applyFont="1" applyAlignment="1">
      <alignment vertical="center"/>
    </xf>
    <xf numFmtId="0" fontId="2" fillId="8" borderId="4" xfId="0" applyFont="1" applyFill="1" applyBorder="1" applyAlignment="1">
      <alignment horizontal="center" vertical="center"/>
    </xf>
    <xf numFmtId="0" fontId="2" fillId="8" borderId="0" xfId="0" applyFont="1" applyFill="1" applyAlignment="1">
      <alignment horizontal="left" vertical="center"/>
    </xf>
    <xf numFmtId="49" fontId="2" fillId="8" borderId="0" xfId="0" applyNumberFormat="1" applyFont="1" applyFill="1" applyAlignment="1">
      <alignment horizontal="center" vertical="center"/>
    </xf>
    <xf numFmtId="0" fontId="2" fillId="8" borderId="0" xfId="0" applyFont="1" applyFill="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11" fillId="9" borderId="11" xfId="0" applyFont="1" applyFill="1" applyBorder="1" applyAlignment="1">
      <alignment vertical="center"/>
    </xf>
    <xf numFmtId="0" fontId="2" fillId="0" borderId="6" xfId="0" applyFont="1" applyBorder="1" applyAlignment="1">
      <alignment horizontal="center" vertical="center"/>
    </xf>
    <xf numFmtId="0" fontId="2" fillId="0" borderId="7" xfId="0" applyFont="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left" vertical="center"/>
    </xf>
    <xf numFmtId="0" fontId="11" fillId="0" borderId="14" xfId="0" applyFont="1" applyBorder="1" applyAlignment="1">
      <alignment vertical="center"/>
    </xf>
    <xf numFmtId="0" fontId="2" fillId="8" borderId="1" xfId="0" applyFont="1" applyFill="1" applyBorder="1" applyAlignment="1">
      <alignment horizontal="center" vertical="center"/>
    </xf>
    <xf numFmtId="0" fontId="2" fillId="8" borderId="2" xfId="0" applyFont="1" applyFill="1" applyBorder="1" applyAlignment="1">
      <alignment horizontal="left" vertical="center"/>
    </xf>
    <xf numFmtId="49" fontId="2" fillId="8" borderId="2" xfId="0" applyNumberFormat="1" applyFont="1" applyFill="1" applyBorder="1" applyAlignment="1">
      <alignment horizontal="center" vertical="center"/>
    </xf>
    <xf numFmtId="0" fontId="2" fillId="8" borderId="2" xfId="0" applyFont="1" applyFill="1" applyBorder="1" applyAlignment="1">
      <alignment horizontal="center" vertical="center"/>
    </xf>
    <xf numFmtId="0" fontId="2" fillId="0" borderId="15" xfId="0" applyFont="1" applyBorder="1" applyAlignment="1">
      <alignmen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11" fillId="10" borderId="14" xfId="0" applyFont="1" applyFill="1" applyBorder="1" applyAlignment="1">
      <alignment vertical="center"/>
    </xf>
    <xf numFmtId="0" fontId="11" fillId="10" borderId="19" xfId="0" applyFont="1" applyFill="1" applyBorder="1" applyAlignment="1">
      <alignment vertical="center"/>
    </xf>
    <xf numFmtId="0" fontId="2" fillId="0" borderId="20" xfId="0" applyFont="1" applyBorder="1" applyAlignment="1">
      <alignment vertical="center"/>
    </xf>
    <xf numFmtId="0" fontId="3" fillId="0" borderId="20" xfId="0" applyFont="1" applyBorder="1" applyAlignment="1">
      <alignment horizontal="center" vertical="center"/>
    </xf>
    <xf numFmtId="0" fontId="2" fillId="8" borderId="6" xfId="0" applyFont="1" applyFill="1" applyBorder="1" applyAlignment="1">
      <alignment horizontal="center" vertical="center"/>
    </xf>
    <xf numFmtId="0" fontId="2" fillId="8" borderId="7" xfId="0" applyFont="1" applyFill="1" applyBorder="1" applyAlignment="1">
      <alignment horizontal="left" vertical="center"/>
    </xf>
    <xf numFmtId="49" fontId="2" fillId="8" borderId="7" xfId="0" applyNumberFormat="1" applyFont="1" applyFill="1" applyBorder="1" applyAlignment="1">
      <alignment horizontal="center" vertical="center"/>
    </xf>
    <xf numFmtId="0" fontId="2" fillId="8" borderId="7" xfId="0"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0" applyNumberFormat="1" applyFont="1" applyBorder="1" applyAlignment="1">
      <alignment horizontal="center" vertical="center"/>
    </xf>
    <xf numFmtId="49" fontId="2" fillId="8" borderId="4" xfId="0" applyNumberFormat="1" applyFont="1" applyFill="1" applyBorder="1" applyAlignment="1">
      <alignment horizontal="center" vertical="center"/>
    </xf>
    <xf numFmtId="49" fontId="2" fillId="8" borderId="0" xfId="0" applyNumberFormat="1" applyFont="1" applyFill="1" applyAlignment="1">
      <alignment horizontal="left" vertical="center"/>
    </xf>
    <xf numFmtId="49" fontId="2" fillId="0" borderId="4" xfId="0" applyNumberFormat="1" applyFont="1" applyBorder="1" applyAlignment="1">
      <alignment horizontal="center" vertical="center"/>
    </xf>
    <xf numFmtId="49" fontId="2" fillId="0" borderId="0" xfId="0" applyNumberFormat="1" applyFont="1" applyAlignment="1">
      <alignment horizontal="left" vertical="center"/>
    </xf>
    <xf numFmtId="49" fontId="2" fillId="0" borderId="0" xfId="0" applyNumberFormat="1" applyFont="1" applyAlignment="1">
      <alignment horizontal="center" vertical="center"/>
    </xf>
    <xf numFmtId="49" fontId="2" fillId="0" borderId="5" xfId="0" applyNumberFormat="1" applyFont="1" applyBorder="1" applyAlignment="1">
      <alignment horizontal="left" vertical="center"/>
    </xf>
    <xf numFmtId="49" fontId="2" fillId="8" borderId="6" xfId="0" applyNumberFormat="1" applyFont="1" applyFill="1" applyBorder="1" applyAlignment="1">
      <alignment horizontal="center" vertical="center"/>
    </xf>
    <xf numFmtId="49" fontId="2" fillId="8" borderId="7" xfId="0" applyNumberFormat="1"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2" fillId="4" borderId="4" xfId="0" applyFont="1" applyFill="1" applyBorder="1" applyAlignment="1">
      <alignment horizontal="center" vertical="center"/>
    </xf>
    <xf numFmtId="0" fontId="2" fillId="4" borderId="0" xfId="0" applyFont="1" applyFill="1" applyAlignment="1" applyProtection="1">
      <alignment vertical="center"/>
      <protection locked="0"/>
    </xf>
    <xf numFmtId="0" fontId="6" fillId="5" borderId="0" xfId="0" applyFont="1" applyFill="1" applyAlignment="1" applyProtection="1">
      <alignment horizontal="center" vertical="center"/>
      <protection locked="0"/>
    </xf>
    <xf numFmtId="49" fontId="2" fillId="6" borderId="0" xfId="0" applyNumberFormat="1" applyFont="1" applyFill="1" applyAlignment="1" applyProtection="1">
      <alignment horizontal="center" vertical="center"/>
      <protection locked="0"/>
    </xf>
    <xf numFmtId="0" fontId="3" fillId="4" borderId="0" xfId="0" applyFont="1" applyFill="1" applyAlignment="1" applyProtection="1">
      <alignment horizontal="center" vertical="center"/>
      <protection locked="0" hidden="1"/>
    </xf>
    <xf numFmtId="0" fontId="2" fillId="4" borderId="0" xfId="0" applyFont="1" applyFill="1" applyAlignment="1" applyProtection="1">
      <alignment horizontal="center" vertical="center"/>
      <protection locked="0"/>
    </xf>
    <xf numFmtId="0" fontId="2" fillId="4" borderId="5" xfId="0" applyFont="1" applyFill="1" applyBorder="1" applyAlignment="1" applyProtection="1">
      <alignment horizontal="left" vertical="center"/>
      <protection locked="0"/>
    </xf>
    <xf numFmtId="0" fontId="2" fillId="7" borderId="4" xfId="0" applyFont="1" applyFill="1" applyBorder="1" applyAlignment="1">
      <alignment horizontal="center" vertical="center"/>
    </xf>
    <xf numFmtId="0" fontId="2" fillId="7" borderId="0" xfId="0" applyFont="1" applyFill="1" applyAlignment="1">
      <alignment horizontal="left" vertical="center"/>
    </xf>
    <xf numFmtId="49" fontId="2" fillId="7" borderId="0" xfId="0" applyNumberFormat="1" applyFont="1" applyFill="1" applyAlignment="1">
      <alignment horizontal="center" vertical="center"/>
    </xf>
    <xf numFmtId="0" fontId="2" fillId="7" borderId="0" xfId="0" applyFont="1" applyFill="1" applyAlignment="1">
      <alignment horizontal="center" vertical="center"/>
    </xf>
    <xf numFmtId="0" fontId="2" fillId="7" borderId="5" xfId="0" applyFont="1" applyFill="1" applyBorder="1" applyAlignment="1">
      <alignment horizontal="left" vertical="center"/>
    </xf>
    <xf numFmtId="0" fontId="2" fillId="0" borderId="0" xfId="0" applyFont="1" applyAlignment="1">
      <alignment horizontal="left" vertical="center"/>
    </xf>
    <xf numFmtId="0" fontId="2" fillId="7" borderId="0" xfId="0" applyFont="1" applyFill="1" applyAlignment="1">
      <alignment horizontal="left" vertical="center"/>
    </xf>
    <xf numFmtId="0" fontId="2" fillId="7" borderId="6" xfId="0" applyFont="1" applyFill="1" applyBorder="1" applyAlignment="1">
      <alignment horizontal="center" vertical="center"/>
    </xf>
    <xf numFmtId="0" fontId="2" fillId="7" borderId="7" xfId="0" applyFont="1" applyFill="1" applyBorder="1" applyAlignment="1">
      <alignment horizontal="left" vertical="center"/>
    </xf>
    <xf numFmtId="49" fontId="2" fillId="7" borderId="7" xfId="0" applyNumberFormat="1" applyFont="1" applyFill="1" applyBorder="1" applyAlignment="1">
      <alignment horizontal="center" vertical="center"/>
    </xf>
    <xf numFmtId="0" fontId="2" fillId="7" borderId="7" xfId="0" applyFont="1" applyFill="1" applyBorder="1" applyAlignment="1">
      <alignment horizontal="center" vertical="center"/>
    </xf>
    <xf numFmtId="0" fontId="2" fillId="7" borderId="8" xfId="0" applyFont="1" applyFill="1" applyBorder="1" applyAlignment="1">
      <alignment horizontal="left" vertical="center"/>
    </xf>
    <xf numFmtId="0" fontId="2" fillId="8" borderId="5" xfId="0" applyFont="1" applyFill="1" applyBorder="1" applyAlignment="1">
      <alignment horizontal="left" vertical="center"/>
    </xf>
    <xf numFmtId="0" fontId="11" fillId="9" borderId="9" xfId="0" applyFont="1" applyFill="1" applyBorder="1" applyAlignment="1">
      <alignment horizontal="center" vertical="center"/>
    </xf>
    <xf numFmtId="0" fontId="11" fillId="9" borderId="10" xfId="0" applyFont="1" applyFill="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2" fillId="8" borderId="3" xfId="0" applyFont="1" applyFill="1" applyBorder="1" applyAlignment="1">
      <alignment horizontal="left" vertical="center"/>
    </xf>
    <xf numFmtId="0" fontId="12" fillId="10" borderId="12" xfId="0" applyFont="1" applyFill="1" applyBorder="1" applyAlignment="1">
      <alignment horizontal="center" vertical="center"/>
    </xf>
    <xf numFmtId="0" fontId="12" fillId="10" borderId="13" xfId="0" applyFont="1" applyFill="1" applyBorder="1" applyAlignment="1">
      <alignment horizontal="center" vertical="center"/>
    </xf>
    <xf numFmtId="0" fontId="12" fillId="10" borderId="17" xfId="0" applyFont="1" applyFill="1" applyBorder="1" applyAlignment="1">
      <alignment horizontal="center" vertical="center"/>
    </xf>
    <xf numFmtId="0" fontId="12" fillId="10" borderId="18" xfId="0" applyFont="1" applyFill="1" applyBorder="1" applyAlignment="1">
      <alignment horizontal="center" vertical="center"/>
    </xf>
    <xf numFmtId="0" fontId="11" fillId="0" borderId="0" xfId="0" applyFont="1" applyAlignment="1">
      <alignment horizontal="left" vertical="center"/>
    </xf>
    <xf numFmtId="0" fontId="8" fillId="0" borderId="0" xfId="0" applyFont="1" applyAlignment="1">
      <alignment horizontal="left" vertical="center"/>
    </xf>
    <xf numFmtId="0" fontId="2" fillId="8" borderId="8" xfId="0" applyFont="1" applyFill="1" applyBorder="1" applyAlignment="1">
      <alignment horizontal="left" vertical="center"/>
    </xf>
    <xf numFmtId="0" fontId="3" fillId="0" borderId="0" xfId="0" applyFont="1" applyAlignment="1">
      <alignment horizontal="left" vertical="center"/>
    </xf>
    <xf numFmtId="49" fontId="2" fillId="0" borderId="3" xfId="0" applyNumberFormat="1" applyFont="1" applyBorder="1" applyAlignment="1">
      <alignment horizontal="left" vertical="center"/>
    </xf>
    <xf numFmtId="49" fontId="2" fillId="8" borderId="5" xfId="0" applyNumberFormat="1" applyFont="1" applyFill="1" applyBorder="1" applyAlignment="1">
      <alignment horizontal="left" vertical="center"/>
    </xf>
    <xf numFmtId="0" fontId="8" fillId="0" borderId="0" xfId="0" applyFont="1" applyAlignment="1">
      <alignment horizontal="center" vertical="center"/>
    </xf>
    <xf numFmtId="49" fontId="2" fillId="8" borderId="8"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SHELF\COC\mingriAgency\assets\COC7&#31354;&#30333;&#21345;CY23Final.xlsx" TargetMode="External"/><Relationship Id="rId1" Type="http://schemas.openxmlformats.org/officeDocument/2006/relationships/externalLinkPath" Target="COC7&#31354;&#30333;&#21345;CY23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人物卡"/>
      <sheetName val="简化卡 骰娘导入"/>
      <sheetName val="职业列表"/>
      <sheetName val="成长表（测试）"/>
      <sheetName val="本职技能"/>
      <sheetName val="附表"/>
      <sheetName val="技能注释"/>
      <sheetName val="属性注释"/>
      <sheetName val="资产及物价参考"/>
      <sheetName val="武器列表 战斗"/>
      <sheetName val="防具表 载具表"/>
      <sheetName val="疯狂表"/>
      <sheetName val="更新说明"/>
    </sheetNames>
    <sheetDataSet>
      <sheetData sheetId="0"/>
      <sheetData sheetId="1"/>
      <sheetData sheetId="2"/>
      <sheetData sheetId="3"/>
      <sheetData sheetId="4"/>
      <sheetData sheetId="5">
        <row r="9">
          <cell r="AA9" t="str">
            <v>教育×4</v>
          </cell>
        </row>
        <row r="10">
          <cell r="AF10">
            <v>0</v>
          </cell>
        </row>
        <row r="11">
          <cell r="AF11">
            <v>0</v>
          </cell>
        </row>
        <row r="12">
          <cell r="AF12">
            <v>0</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9324-7AC2-454D-9CDD-391B863EFC3A}">
  <dimension ref="A1:N232"/>
  <sheetViews>
    <sheetView tabSelected="1" topLeftCell="A202" workbookViewId="0">
      <selection activeCell="H15" sqref="H15:I15"/>
    </sheetView>
  </sheetViews>
  <sheetFormatPr defaultRowHeight="14.25"/>
  <cols>
    <col min="1" max="1" width="4.875" bestFit="1" customWidth="1"/>
    <col min="2" max="2" width="10.5" bestFit="1" customWidth="1"/>
    <col min="4" max="4" width="8.625" bestFit="1" customWidth="1"/>
    <col min="5" max="5" width="27" bestFit="1" customWidth="1"/>
    <col min="6" max="6" width="6.75" bestFit="1" customWidth="1"/>
    <col min="7" max="7" width="172.875" bestFit="1" customWidth="1"/>
    <col min="8" max="8" width="64.625" bestFit="1" customWidth="1"/>
    <col min="10" max="10" width="255.625" bestFit="1" customWidth="1"/>
    <col min="14" max="14" width="15" bestFit="1" customWidth="1"/>
  </cols>
  <sheetData>
    <row r="1" spans="1:14" ht="16.5">
      <c r="A1" s="53" t="s">
        <v>0</v>
      </c>
      <c r="B1" s="54" t="s">
        <v>1</v>
      </c>
      <c r="C1" s="54"/>
      <c r="D1" s="55" t="s">
        <v>2</v>
      </c>
      <c r="E1" s="56" t="s">
        <v>3</v>
      </c>
      <c r="F1" s="56" t="s">
        <v>4</v>
      </c>
      <c r="G1" s="57" t="s">
        <v>5</v>
      </c>
      <c r="H1" s="1" t="s">
        <v>6</v>
      </c>
      <c r="I1" s="1"/>
      <c r="J1" s="1" t="s">
        <v>7</v>
      </c>
      <c r="K1" s="1"/>
      <c r="L1" s="2"/>
      <c r="M1" s="2"/>
      <c r="N1" s="3"/>
    </row>
    <row r="2" spans="1:14" ht="16.5">
      <c r="A2" s="18">
        <v>0</v>
      </c>
      <c r="B2" s="58" t="s">
        <v>8</v>
      </c>
      <c r="C2" s="58"/>
      <c r="D2" s="58"/>
      <c r="E2" s="58"/>
      <c r="F2" s="58"/>
      <c r="G2" s="59"/>
      <c r="H2" s="4"/>
      <c r="I2" s="4"/>
      <c r="J2" s="4"/>
      <c r="K2" s="4"/>
      <c r="L2" s="3"/>
      <c r="M2" s="3"/>
      <c r="N2" s="5"/>
    </row>
    <row r="3" spans="1:14" ht="16.5">
      <c r="A3" s="60">
        <v>1</v>
      </c>
      <c r="B3" s="61" t="str">
        <f>IF(C3="","自定义职业",C3)</f>
        <v>自定义职业</v>
      </c>
      <c r="C3" s="62"/>
      <c r="D3" s="63"/>
      <c r="E3" s="64" t="str">
        <f>[1]附表!AA9</f>
        <v>教育×4</v>
      </c>
      <c r="F3" s="65">
        <f>SUM([1]附表!AF10:AF12)</f>
        <v>0</v>
      </c>
      <c r="G3" s="66" t="e">
        <f>IF(#REF!&lt;&gt;"",#REF!&amp;"，"&amp;#REF!&amp;"，"&amp;#REF!&amp;"，"&amp;#REF!&amp;"，"&amp;#REF!&amp;"，"&amp;#REF!&amp;"，"&amp;#REF!&amp;"，"&amp;#REF!,"不多于8个本职技能。在右侧职业属性中输入第二职业属性的数值（留空则视为EDU）并自行设置起始信誉。使用自定义职业前，请先咨询你的守秘人。")</f>
        <v>#REF!</v>
      </c>
      <c r="H3" s="6" t="s">
        <v>9</v>
      </c>
      <c r="I3" s="6"/>
      <c r="J3" s="7" t="s">
        <v>10</v>
      </c>
      <c r="K3" s="8"/>
      <c r="L3" s="3"/>
      <c r="M3" s="3"/>
      <c r="N3" s="5"/>
    </row>
    <row r="4" spans="1:14" ht="16.5">
      <c r="A4" s="18">
        <v>2</v>
      </c>
      <c r="B4" s="19" t="s">
        <v>11</v>
      </c>
      <c r="C4" s="19"/>
      <c r="D4" s="2" t="s">
        <v>12</v>
      </c>
      <c r="E4" s="2" t="s">
        <v>13</v>
      </c>
      <c r="F4" s="2">
        <f>EDU*4</f>
        <v>0</v>
      </c>
      <c r="G4" s="20" t="s">
        <v>14</v>
      </c>
      <c r="H4" s="6" t="s">
        <v>15</v>
      </c>
      <c r="I4" s="6"/>
      <c r="J4" s="7" t="s">
        <v>16</v>
      </c>
      <c r="K4" s="8"/>
      <c r="L4" s="3"/>
      <c r="M4" s="3"/>
      <c r="N4" s="5"/>
    </row>
    <row r="5" spans="1:14" ht="16.5">
      <c r="A5" s="67">
        <v>3</v>
      </c>
      <c r="B5" s="68" t="s">
        <v>17</v>
      </c>
      <c r="C5" s="68"/>
      <c r="D5" s="69" t="s">
        <v>18</v>
      </c>
      <c r="E5" s="70" t="s">
        <v>19</v>
      </c>
      <c r="F5" s="70">
        <f>EDU*2+DEX*2</f>
        <v>0</v>
      </c>
      <c r="G5" s="71" t="s">
        <v>20</v>
      </c>
      <c r="H5" s="6" t="s">
        <v>21</v>
      </c>
      <c r="I5" s="6"/>
      <c r="J5" s="7" t="s">
        <v>22</v>
      </c>
      <c r="K5" s="8"/>
      <c r="L5" s="3"/>
      <c r="M5" s="3"/>
      <c r="N5" s="5"/>
    </row>
    <row r="6" spans="1:14" ht="16.5">
      <c r="A6" s="18">
        <v>4</v>
      </c>
      <c r="B6" s="19" t="s">
        <v>23</v>
      </c>
      <c r="C6" s="19"/>
      <c r="D6" s="2" t="s">
        <v>24</v>
      </c>
      <c r="E6" s="2" t="s">
        <v>25</v>
      </c>
      <c r="F6" s="2">
        <f>EDU*2+APP*2</f>
        <v>0</v>
      </c>
      <c r="G6" s="20" t="s">
        <v>26</v>
      </c>
      <c r="H6" s="6" t="s">
        <v>27</v>
      </c>
      <c r="I6" s="6"/>
      <c r="J6" s="7" t="s">
        <v>28</v>
      </c>
      <c r="K6" s="8"/>
      <c r="L6" s="3"/>
      <c r="M6" s="3"/>
      <c r="N6" s="5"/>
    </row>
    <row r="7" spans="1:14" ht="16.5">
      <c r="A7" s="67">
        <v>5</v>
      </c>
      <c r="B7" s="68" t="s">
        <v>29</v>
      </c>
      <c r="C7" s="68"/>
      <c r="D7" s="69" t="s">
        <v>30</v>
      </c>
      <c r="E7" s="70" t="s">
        <v>25</v>
      </c>
      <c r="F7" s="70">
        <f>EDU*2+APP*2</f>
        <v>0</v>
      </c>
      <c r="G7" s="71" t="s">
        <v>31</v>
      </c>
      <c r="H7" s="6" t="s">
        <v>32</v>
      </c>
      <c r="I7" s="6"/>
      <c r="J7" s="7" t="s">
        <v>28</v>
      </c>
      <c r="K7" s="8"/>
      <c r="L7" s="3"/>
      <c r="M7" s="3"/>
      <c r="N7" s="5"/>
    </row>
    <row r="8" spans="1:14" ht="16.5">
      <c r="A8" s="18">
        <v>6</v>
      </c>
      <c r="B8" s="19" t="s">
        <v>33</v>
      </c>
      <c r="C8" s="19"/>
      <c r="D8" s="2" t="s">
        <v>34</v>
      </c>
      <c r="E8" s="2" t="s">
        <v>35</v>
      </c>
      <c r="F8" s="2">
        <f>EDU*2+MAX(STR*2,DEX*2)</f>
        <v>0</v>
      </c>
      <c r="G8" s="20" t="s">
        <v>36</v>
      </c>
      <c r="H8" s="6" t="s">
        <v>37</v>
      </c>
      <c r="I8" s="6"/>
      <c r="J8" s="7" t="s">
        <v>38</v>
      </c>
      <c r="K8" s="8"/>
      <c r="L8" s="3"/>
      <c r="M8" s="3"/>
      <c r="N8" s="5"/>
    </row>
    <row r="9" spans="1:14" ht="16.5">
      <c r="A9" s="67">
        <v>7</v>
      </c>
      <c r="B9" s="68" t="s">
        <v>39</v>
      </c>
      <c r="C9" s="68"/>
      <c r="D9" s="69" t="s">
        <v>40</v>
      </c>
      <c r="E9" s="70" t="s">
        <v>41</v>
      </c>
      <c r="F9" s="70">
        <f>EDU*4</f>
        <v>0</v>
      </c>
      <c r="G9" s="71" t="s">
        <v>42</v>
      </c>
      <c r="H9" s="6" t="s">
        <v>43</v>
      </c>
      <c r="I9" s="6"/>
      <c r="J9" s="7" t="s">
        <v>44</v>
      </c>
      <c r="K9" s="8"/>
      <c r="L9" s="3"/>
      <c r="M9" s="3"/>
      <c r="N9" s="5"/>
    </row>
    <row r="10" spans="1:14" ht="16.5">
      <c r="A10" s="18">
        <v>8</v>
      </c>
      <c r="B10" s="19" t="s">
        <v>45</v>
      </c>
      <c r="C10" s="19"/>
      <c r="D10" s="2" t="s">
        <v>46</v>
      </c>
      <c r="E10" s="2" t="s">
        <v>47</v>
      </c>
      <c r="F10" s="2">
        <f>EDU*2+MAX(APP*2,POW*2)</f>
        <v>0</v>
      </c>
      <c r="G10" s="20" t="s">
        <v>48</v>
      </c>
      <c r="H10" s="6" t="s">
        <v>49</v>
      </c>
      <c r="I10" s="6"/>
      <c r="J10" s="7" t="s">
        <v>50</v>
      </c>
      <c r="K10" s="8"/>
      <c r="L10" s="3"/>
      <c r="M10" s="3"/>
      <c r="N10" s="5"/>
    </row>
    <row r="11" spans="1:14" ht="16.5">
      <c r="A11" s="67">
        <v>9</v>
      </c>
      <c r="B11" s="68" t="s">
        <v>51</v>
      </c>
      <c r="C11" s="68"/>
      <c r="D11" s="69" t="s">
        <v>12</v>
      </c>
      <c r="E11" s="70" t="s">
        <v>41</v>
      </c>
      <c r="F11" s="70">
        <f>EDU*4</f>
        <v>0</v>
      </c>
      <c r="G11" s="71" t="s">
        <v>52</v>
      </c>
      <c r="H11" s="6" t="s">
        <v>53</v>
      </c>
      <c r="I11" s="6"/>
      <c r="J11" s="7" t="s">
        <v>54</v>
      </c>
      <c r="K11" s="8"/>
      <c r="L11" s="3"/>
      <c r="M11" s="3"/>
      <c r="N11" s="5"/>
    </row>
    <row r="12" spans="1:14" ht="16.5">
      <c r="A12" s="18">
        <v>10</v>
      </c>
      <c r="B12" s="19" t="s">
        <v>55</v>
      </c>
      <c r="C12" s="19"/>
      <c r="D12" s="2" t="s">
        <v>56</v>
      </c>
      <c r="E12" s="2" t="s">
        <v>41</v>
      </c>
      <c r="F12" s="2">
        <f>EDU*4</f>
        <v>0</v>
      </c>
      <c r="G12" s="20" t="s">
        <v>57</v>
      </c>
      <c r="H12" s="6" t="s">
        <v>58</v>
      </c>
      <c r="I12" s="6"/>
      <c r="J12" s="7" t="s">
        <v>59</v>
      </c>
      <c r="K12" s="8"/>
      <c r="L12" s="3"/>
      <c r="M12" s="3"/>
      <c r="N12" s="5"/>
    </row>
    <row r="13" spans="1:14" ht="16.5">
      <c r="A13" s="67">
        <v>11</v>
      </c>
      <c r="B13" s="68" t="s">
        <v>60</v>
      </c>
      <c r="C13" s="68"/>
      <c r="D13" s="69" t="s">
        <v>46</v>
      </c>
      <c r="E13" s="70" t="s">
        <v>41</v>
      </c>
      <c r="F13" s="70">
        <f>EDU*4</f>
        <v>0</v>
      </c>
      <c r="G13" s="73" t="s">
        <v>61</v>
      </c>
      <c r="H13" s="6" t="s">
        <v>62</v>
      </c>
      <c r="I13" s="6"/>
      <c r="J13" s="7" t="s">
        <v>63</v>
      </c>
      <c r="K13" s="8"/>
      <c r="L13" s="3"/>
      <c r="M13" s="3"/>
      <c r="N13" s="5"/>
    </row>
    <row r="14" spans="1:14" ht="16.5">
      <c r="A14" s="18">
        <v>12</v>
      </c>
      <c r="B14" s="19" t="s">
        <v>64</v>
      </c>
      <c r="C14" s="19"/>
      <c r="D14" s="2" t="s">
        <v>12</v>
      </c>
      <c r="E14" s="2" t="s">
        <v>41</v>
      </c>
      <c r="F14" s="2">
        <f>EDU*4</f>
        <v>0</v>
      </c>
      <c r="G14" s="72" t="s">
        <v>65</v>
      </c>
      <c r="H14" s="6" t="s">
        <v>66</v>
      </c>
      <c r="I14" s="6"/>
      <c r="J14" s="7" t="s">
        <v>67</v>
      </c>
      <c r="K14" s="8"/>
      <c r="L14" s="3"/>
      <c r="M14" s="3"/>
      <c r="N14" s="5"/>
    </row>
    <row r="15" spans="1:14" ht="16.5">
      <c r="A15" s="67">
        <v>13</v>
      </c>
      <c r="B15" s="68" t="s">
        <v>68</v>
      </c>
      <c r="C15" s="68"/>
      <c r="D15" s="69" t="s">
        <v>69</v>
      </c>
      <c r="E15" s="70" t="s">
        <v>70</v>
      </c>
      <c r="F15" s="70">
        <f>EDU*2+MAX(DEX*2,POW*2)</f>
        <v>0</v>
      </c>
      <c r="G15" s="73" t="s">
        <v>71</v>
      </c>
      <c r="H15" s="6" t="s">
        <v>72</v>
      </c>
      <c r="I15" s="6"/>
      <c r="J15" s="7" t="s">
        <v>73</v>
      </c>
      <c r="K15" s="8"/>
      <c r="L15" s="3"/>
      <c r="M15" s="3"/>
      <c r="N15" s="5"/>
    </row>
    <row r="16" spans="1:14" ht="16.5">
      <c r="A16" s="18">
        <v>14</v>
      </c>
      <c r="B16" s="19" t="s">
        <v>74</v>
      </c>
      <c r="C16" s="19"/>
      <c r="D16" s="2" t="s">
        <v>75</v>
      </c>
      <c r="E16" s="2" t="s">
        <v>35</v>
      </c>
      <c r="F16" s="2">
        <f>EDU*2+MAX(STR*2,DEX*2)</f>
        <v>0</v>
      </c>
      <c r="G16" s="72" t="s">
        <v>76</v>
      </c>
      <c r="H16" s="6" t="s">
        <v>77</v>
      </c>
      <c r="I16" s="6"/>
      <c r="J16" s="7" t="s">
        <v>78</v>
      </c>
      <c r="K16" s="8"/>
      <c r="L16" s="3"/>
      <c r="M16" s="3"/>
      <c r="N16" s="5"/>
    </row>
    <row r="17" spans="1:14" ht="16.5">
      <c r="A17" s="67">
        <v>15</v>
      </c>
      <c r="B17" s="68" t="s">
        <v>79</v>
      </c>
      <c r="C17" s="68"/>
      <c r="D17" s="69" t="s">
        <v>80</v>
      </c>
      <c r="E17" s="70" t="s">
        <v>35</v>
      </c>
      <c r="F17" s="70">
        <f>EDU*2+MAX(STR*2,DEX*2)</f>
        <v>0</v>
      </c>
      <c r="G17" s="73" t="s">
        <v>81</v>
      </c>
      <c r="H17" s="6" t="s">
        <v>82</v>
      </c>
      <c r="I17" s="6"/>
      <c r="J17" s="7" t="s">
        <v>83</v>
      </c>
      <c r="K17" s="8"/>
      <c r="L17" s="3"/>
      <c r="M17" s="3"/>
      <c r="N17" s="5"/>
    </row>
    <row r="18" spans="1:14" ht="16.5">
      <c r="A18" s="18">
        <v>16</v>
      </c>
      <c r="B18" s="19" t="s">
        <v>84</v>
      </c>
      <c r="C18" s="19"/>
      <c r="D18" s="2" t="s">
        <v>85</v>
      </c>
      <c r="E18" s="2" t="s">
        <v>41</v>
      </c>
      <c r="F18" s="2">
        <f>EDU*4</f>
        <v>0</v>
      </c>
      <c r="G18" s="72" t="s">
        <v>86</v>
      </c>
      <c r="H18" s="6" t="s">
        <v>87</v>
      </c>
      <c r="I18" s="6"/>
      <c r="J18" s="7" t="s">
        <v>88</v>
      </c>
      <c r="K18" s="8"/>
      <c r="L18" s="3"/>
      <c r="M18" s="3"/>
      <c r="N18" s="5"/>
    </row>
    <row r="19" spans="1:14" ht="16.5">
      <c r="A19" s="67">
        <v>17</v>
      </c>
      <c r="B19" s="68" t="s">
        <v>89</v>
      </c>
      <c r="C19" s="68"/>
      <c r="D19" s="69" t="s">
        <v>90</v>
      </c>
      <c r="E19" s="70" t="s">
        <v>25</v>
      </c>
      <c r="F19" s="70">
        <f>EDU*2+APP*2</f>
        <v>0</v>
      </c>
      <c r="G19" s="73" t="s">
        <v>91</v>
      </c>
      <c r="H19" s="6" t="s">
        <v>92</v>
      </c>
      <c r="I19" s="6"/>
      <c r="J19" s="7" t="s">
        <v>93</v>
      </c>
      <c r="K19" s="8"/>
      <c r="L19" s="3"/>
      <c r="M19" s="3"/>
      <c r="N19" s="5"/>
    </row>
    <row r="20" spans="1:14" ht="16.5">
      <c r="A20" s="18">
        <v>18</v>
      </c>
      <c r="B20" s="19" t="s">
        <v>94</v>
      </c>
      <c r="C20" s="19"/>
      <c r="D20" s="2" t="s">
        <v>95</v>
      </c>
      <c r="E20" s="2" t="s">
        <v>35</v>
      </c>
      <c r="F20" s="2">
        <f>EDU*2+MAX(STR*2,DEX*2)</f>
        <v>0</v>
      </c>
      <c r="G20" s="72" t="s">
        <v>96</v>
      </c>
      <c r="H20" s="6" t="s">
        <v>97</v>
      </c>
      <c r="I20" s="6"/>
      <c r="J20" s="7" t="s">
        <v>98</v>
      </c>
      <c r="K20" s="8"/>
      <c r="L20" s="3"/>
      <c r="M20" s="3"/>
      <c r="N20" s="5"/>
    </row>
    <row r="21" spans="1:14" ht="16.5">
      <c r="A21" s="67">
        <v>19</v>
      </c>
      <c r="B21" s="68" t="s">
        <v>99</v>
      </c>
      <c r="C21" s="68"/>
      <c r="D21" s="69" t="s">
        <v>100</v>
      </c>
      <c r="E21" s="70" t="s">
        <v>41</v>
      </c>
      <c r="F21" s="70">
        <f>EDU*4</f>
        <v>0</v>
      </c>
      <c r="G21" s="73" t="s">
        <v>101</v>
      </c>
      <c r="H21" s="6" t="s">
        <v>102</v>
      </c>
      <c r="I21" s="6"/>
      <c r="J21" s="7" t="s">
        <v>103</v>
      </c>
      <c r="K21" s="8"/>
      <c r="L21" s="3"/>
      <c r="M21" s="3"/>
      <c r="N21" s="5"/>
    </row>
    <row r="22" spans="1:14" ht="16.5">
      <c r="A22" s="18">
        <v>20</v>
      </c>
      <c r="B22" s="19" t="s">
        <v>104</v>
      </c>
      <c r="C22" s="19"/>
      <c r="D22" s="2" t="s">
        <v>85</v>
      </c>
      <c r="E22" s="2" t="s">
        <v>35</v>
      </c>
      <c r="F22" s="2">
        <f>EDU*2+MAX(STR*2,DEX*2)</f>
        <v>0</v>
      </c>
      <c r="G22" s="72" t="s">
        <v>105</v>
      </c>
      <c r="H22" s="6" t="s">
        <v>106</v>
      </c>
      <c r="I22" s="6"/>
      <c r="J22" s="7" t="s">
        <v>107</v>
      </c>
      <c r="K22" s="8"/>
      <c r="L22" s="3"/>
      <c r="M22" s="3"/>
      <c r="N22" s="5"/>
    </row>
    <row r="23" spans="1:14" ht="16.5">
      <c r="A23" s="67">
        <v>21</v>
      </c>
      <c r="B23" s="68" t="s">
        <v>108</v>
      </c>
      <c r="C23" s="68"/>
      <c r="D23" s="69" t="s">
        <v>109</v>
      </c>
      <c r="E23" s="70" t="s">
        <v>110</v>
      </c>
      <c r="F23" s="70">
        <f>EDU*2+STR*2</f>
        <v>0</v>
      </c>
      <c r="G23" s="73" t="s">
        <v>111</v>
      </c>
      <c r="H23" s="6" t="s">
        <v>112</v>
      </c>
      <c r="I23" s="6"/>
      <c r="J23" s="7" t="s">
        <v>113</v>
      </c>
      <c r="K23" s="8"/>
      <c r="L23" s="3"/>
      <c r="M23" s="3"/>
      <c r="N23" s="5"/>
    </row>
    <row r="24" spans="1:14" ht="16.5">
      <c r="A24" s="18">
        <v>22</v>
      </c>
      <c r="B24" s="19" t="s">
        <v>114</v>
      </c>
      <c r="C24" s="19"/>
      <c r="D24" s="2" t="s">
        <v>24</v>
      </c>
      <c r="E24" s="2" t="s">
        <v>41</v>
      </c>
      <c r="F24" s="2">
        <f>EDU*4</f>
        <v>0</v>
      </c>
      <c r="G24" s="20" t="s">
        <v>115</v>
      </c>
      <c r="H24" s="13"/>
      <c r="I24" s="13"/>
      <c r="J24" s="13"/>
      <c r="K24" s="13"/>
      <c r="L24" s="13"/>
      <c r="M24" s="13"/>
      <c r="N24" s="5"/>
    </row>
    <row r="25" spans="1:14" ht="16.5">
      <c r="A25" s="67">
        <v>23</v>
      </c>
      <c r="B25" s="68" t="s">
        <v>116</v>
      </c>
      <c r="C25" s="68"/>
      <c r="D25" s="69" t="s">
        <v>109</v>
      </c>
      <c r="E25" s="70" t="s">
        <v>41</v>
      </c>
      <c r="F25" s="70">
        <f>EDU*4</f>
        <v>0</v>
      </c>
      <c r="G25" s="71" t="s">
        <v>117</v>
      </c>
      <c r="H25" s="6" t="s">
        <v>118</v>
      </c>
      <c r="I25" s="6"/>
      <c r="J25" s="7" t="s">
        <v>119</v>
      </c>
      <c r="K25" s="8"/>
      <c r="L25" s="3"/>
      <c r="M25" s="3"/>
      <c r="N25" s="5"/>
    </row>
    <row r="26" spans="1:14" ht="16.5">
      <c r="A26" s="18">
        <v>24</v>
      </c>
      <c r="B26" s="19" t="s">
        <v>120</v>
      </c>
      <c r="C26" s="19"/>
      <c r="D26" s="2" t="s">
        <v>121</v>
      </c>
      <c r="E26" s="2" t="s">
        <v>41</v>
      </c>
      <c r="F26" s="2">
        <f>EDU*4</f>
        <v>0</v>
      </c>
      <c r="G26" s="20" t="s">
        <v>122</v>
      </c>
      <c r="H26" s="6" t="s">
        <v>123</v>
      </c>
      <c r="I26" s="6"/>
      <c r="J26" s="7" t="s">
        <v>124</v>
      </c>
      <c r="K26" s="8"/>
      <c r="L26" s="3"/>
      <c r="M26" s="3"/>
      <c r="N26" s="5"/>
    </row>
    <row r="27" spans="1:14" ht="16.5">
      <c r="A27" s="67">
        <v>25</v>
      </c>
      <c r="B27" s="68" t="s">
        <v>125</v>
      </c>
      <c r="C27" s="68"/>
      <c r="D27" s="69" t="s">
        <v>121</v>
      </c>
      <c r="E27" s="70" t="s">
        <v>41</v>
      </c>
      <c r="F27" s="70">
        <f>EDU*4</f>
        <v>0</v>
      </c>
      <c r="G27" s="71" t="s">
        <v>126</v>
      </c>
      <c r="H27" s="6" t="s">
        <v>127</v>
      </c>
      <c r="I27" s="6"/>
      <c r="J27" s="7" t="s">
        <v>128</v>
      </c>
      <c r="K27" s="8"/>
      <c r="L27" s="3"/>
      <c r="M27" s="3"/>
      <c r="N27" s="5"/>
    </row>
    <row r="28" spans="1:14" ht="16.5">
      <c r="A28" s="18">
        <v>26</v>
      </c>
      <c r="B28" s="19" t="s">
        <v>129</v>
      </c>
      <c r="C28" s="19"/>
      <c r="D28" s="2" t="s">
        <v>18</v>
      </c>
      <c r="E28" s="2" t="s">
        <v>35</v>
      </c>
      <c r="F28" s="2">
        <f>EDU*2+MAX(STR*2,DEX*2)</f>
        <v>0</v>
      </c>
      <c r="G28" s="20" t="s">
        <v>130</v>
      </c>
      <c r="H28" s="6" t="s">
        <v>131</v>
      </c>
      <c r="I28" s="6"/>
      <c r="J28" s="7" t="s">
        <v>132</v>
      </c>
      <c r="K28" s="8"/>
      <c r="L28" s="3"/>
      <c r="M28" s="3"/>
      <c r="N28" s="5"/>
    </row>
    <row r="29" spans="1:14" ht="16.5">
      <c r="A29" s="67">
        <v>27</v>
      </c>
      <c r="B29" s="68" t="s">
        <v>133</v>
      </c>
      <c r="C29" s="68"/>
      <c r="D29" s="69" t="s">
        <v>46</v>
      </c>
      <c r="E29" s="70" t="s">
        <v>134</v>
      </c>
      <c r="F29" s="70">
        <f>EDU*2+DEX*2</f>
        <v>0</v>
      </c>
      <c r="G29" s="71" t="s">
        <v>135</v>
      </c>
      <c r="H29" s="6" t="s">
        <v>136</v>
      </c>
      <c r="I29" s="6"/>
      <c r="J29" s="7" t="s">
        <v>137</v>
      </c>
      <c r="K29" s="8"/>
      <c r="L29" s="3"/>
      <c r="M29" s="3"/>
      <c r="N29" s="5"/>
    </row>
    <row r="30" spans="1:14" ht="16.5">
      <c r="A30" s="18">
        <v>28</v>
      </c>
      <c r="B30" s="19" t="s">
        <v>138</v>
      </c>
      <c r="C30" s="19"/>
      <c r="D30" s="2" t="s">
        <v>139</v>
      </c>
      <c r="E30" s="2" t="s">
        <v>35</v>
      </c>
      <c r="F30" s="2">
        <f>EDU*2+MAX(STR*2,DEX*2)</f>
        <v>0</v>
      </c>
      <c r="G30" s="20" t="s">
        <v>140</v>
      </c>
      <c r="H30" s="6" t="s">
        <v>141</v>
      </c>
      <c r="I30" s="6"/>
      <c r="J30" s="7" t="s">
        <v>142</v>
      </c>
      <c r="K30" s="8"/>
      <c r="L30" s="3"/>
      <c r="M30" s="3"/>
      <c r="N30" s="5"/>
    </row>
    <row r="31" spans="1:14" ht="16.5">
      <c r="A31" s="67">
        <v>29</v>
      </c>
      <c r="B31" s="68" t="s">
        <v>143</v>
      </c>
      <c r="C31" s="68"/>
      <c r="D31" s="69" t="s">
        <v>144</v>
      </c>
      <c r="E31" s="70" t="s">
        <v>145</v>
      </c>
      <c r="F31" s="70">
        <f>EDU*2+MAX(STR*2,DEX*2)</f>
        <v>0</v>
      </c>
      <c r="G31" s="71" t="s">
        <v>146</v>
      </c>
      <c r="H31" s="6" t="s">
        <v>147</v>
      </c>
      <c r="I31" s="6"/>
      <c r="J31" s="7" t="s">
        <v>148</v>
      </c>
      <c r="K31" s="8"/>
      <c r="L31" s="3"/>
      <c r="M31" s="3"/>
      <c r="N31" s="5"/>
    </row>
    <row r="32" spans="1:14" ht="16.5">
      <c r="A32" s="18">
        <v>30</v>
      </c>
      <c r="B32" s="19" t="s">
        <v>149</v>
      </c>
      <c r="C32" s="19"/>
      <c r="D32" s="2" t="s">
        <v>150</v>
      </c>
      <c r="E32" s="2" t="s">
        <v>151</v>
      </c>
      <c r="F32" s="2">
        <f>EDU*2+STR*2</f>
        <v>0</v>
      </c>
      <c r="G32" s="20" t="s">
        <v>152</v>
      </c>
      <c r="H32" s="6" t="s">
        <v>153</v>
      </c>
      <c r="I32" s="6"/>
      <c r="J32" s="7" t="s">
        <v>154</v>
      </c>
      <c r="K32" s="8"/>
      <c r="L32" s="3"/>
      <c r="M32" s="3"/>
      <c r="N32" s="5"/>
    </row>
    <row r="33" spans="1:14" ht="16.5">
      <c r="A33" s="67">
        <v>31</v>
      </c>
      <c r="B33" s="68" t="s">
        <v>155</v>
      </c>
      <c r="C33" s="68"/>
      <c r="D33" s="69" t="s">
        <v>156</v>
      </c>
      <c r="E33" s="70" t="s">
        <v>157</v>
      </c>
      <c r="F33" s="70">
        <f>EDU*2+DEX*2</f>
        <v>0</v>
      </c>
      <c r="G33" s="71" t="s">
        <v>158</v>
      </c>
      <c r="H33" s="6" t="s">
        <v>159</v>
      </c>
      <c r="I33" s="6"/>
      <c r="J33" s="7" t="s">
        <v>148</v>
      </c>
      <c r="K33" s="8"/>
      <c r="L33" s="3"/>
      <c r="M33" s="3"/>
      <c r="N33" s="5"/>
    </row>
    <row r="34" spans="1:14" ht="16.5">
      <c r="A34" s="18">
        <v>32</v>
      </c>
      <c r="B34" s="19" t="s">
        <v>160</v>
      </c>
      <c r="C34" s="19"/>
      <c r="D34" s="2" t="s">
        <v>161</v>
      </c>
      <c r="E34" s="2" t="s">
        <v>162</v>
      </c>
      <c r="F34" s="2">
        <f>EDU*2+APP*2</f>
        <v>0</v>
      </c>
      <c r="G34" s="20" t="s">
        <v>163</v>
      </c>
      <c r="H34" s="6" t="s">
        <v>164</v>
      </c>
      <c r="I34" s="6"/>
      <c r="J34" s="7" t="s">
        <v>165</v>
      </c>
      <c r="K34" s="8"/>
      <c r="L34" s="3"/>
      <c r="M34" s="3"/>
      <c r="N34" s="5"/>
    </row>
    <row r="35" spans="1:14" ht="16.5">
      <c r="A35" s="67">
        <v>33</v>
      </c>
      <c r="B35" s="68" t="s">
        <v>166</v>
      </c>
      <c r="C35" s="68"/>
      <c r="D35" s="69" t="s">
        <v>167</v>
      </c>
      <c r="E35" s="70" t="s">
        <v>168</v>
      </c>
      <c r="F35" s="70">
        <f>EDU*2+MAX(DEX*2,APP*2)</f>
        <v>0</v>
      </c>
      <c r="G35" s="71" t="s">
        <v>169</v>
      </c>
      <c r="H35" s="6" t="s">
        <v>170</v>
      </c>
      <c r="I35" s="6"/>
      <c r="J35" s="7" t="s">
        <v>148</v>
      </c>
      <c r="K35" s="8"/>
      <c r="L35" s="3"/>
      <c r="M35" s="3"/>
      <c r="N35" s="5"/>
    </row>
    <row r="36" spans="1:14" ht="16.5">
      <c r="A36" s="18">
        <v>34</v>
      </c>
      <c r="B36" s="19" t="s">
        <v>171</v>
      </c>
      <c r="C36" s="19"/>
      <c r="D36" s="2" t="s">
        <v>172</v>
      </c>
      <c r="E36" s="2" t="s">
        <v>162</v>
      </c>
      <c r="F36" s="2">
        <f>EDU*2+APP*2</f>
        <v>0</v>
      </c>
      <c r="G36" s="20" t="s">
        <v>173</v>
      </c>
      <c r="H36" s="6" t="s">
        <v>174</v>
      </c>
      <c r="I36" s="6"/>
      <c r="J36" s="7" t="s">
        <v>175</v>
      </c>
      <c r="K36" s="8"/>
      <c r="L36" s="3"/>
      <c r="M36" s="3"/>
      <c r="N36" s="5"/>
    </row>
    <row r="37" spans="1:14" ht="16.5">
      <c r="A37" s="67">
        <v>35</v>
      </c>
      <c r="B37" s="68" t="s">
        <v>176</v>
      </c>
      <c r="C37" s="68"/>
      <c r="D37" s="69" t="s">
        <v>100</v>
      </c>
      <c r="E37" s="70" t="s">
        <v>162</v>
      </c>
      <c r="F37" s="70">
        <f>EDU*2+APP*2</f>
        <v>0</v>
      </c>
      <c r="G37" s="71" t="s">
        <v>177</v>
      </c>
      <c r="H37" s="6" t="s">
        <v>178</v>
      </c>
      <c r="I37" s="6"/>
      <c r="J37" s="7" t="s">
        <v>179</v>
      </c>
      <c r="K37" s="8"/>
      <c r="L37" s="3"/>
      <c r="M37" s="3"/>
      <c r="N37" s="5"/>
    </row>
    <row r="38" spans="1:14" ht="16.5">
      <c r="A38" s="18">
        <v>36</v>
      </c>
      <c r="B38" s="19" t="s">
        <v>180</v>
      </c>
      <c r="C38" s="19"/>
      <c r="D38" s="2" t="s">
        <v>181</v>
      </c>
      <c r="E38" s="2" t="s">
        <v>41</v>
      </c>
      <c r="F38" s="2">
        <f>EDU*4</f>
        <v>0</v>
      </c>
      <c r="G38" s="20" t="s">
        <v>182</v>
      </c>
      <c r="H38" s="6" t="s">
        <v>183</v>
      </c>
      <c r="I38" s="6"/>
      <c r="J38" s="7" t="s">
        <v>184</v>
      </c>
      <c r="K38" s="8"/>
      <c r="L38" s="3"/>
      <c r="M38" s="3"/>
      <c r="N38" s="5"/>
    </row>
    <row r="39" spans="1:14" ht="16.5">
      <c r="A39" s="67">
        <v>37</v>
      </c>
      <c r="B39" s="68" t="s">
        <v>185</v>
      </c>
      <c r="C39" s="68"/>
      <c r="D39" s="69" t="s">
        <v>181</v>
      </c>
      <c r="E39" s="70" t="s">
        <v>186</v>
      </c>
      <c r="F39" s="70">
        <f>EDU*2+MAX(DEX*2,APP*2)</f>
        <v>0</v>
      </c>
      <c r="G39" s="71" t="s">
        <v>187</v>
      </c>
      <c r="H39" s="6" t="s">
        <v>188</v>
      </c>
      <c r="I39" s="6"/>
      <c r="J39" s="7" t="s">
        <v>189</v>
      </c>
      <c r="K39" s="8"/>
      <c r="L39" s="3"/>
      <c r="M39" s="3"/>
      <c r="N39" s="5"/>
    </row>
    <row r="40" spans="1:14" ht="16.5">
      <c r="A40" s="18">
        <v>38</v>
      </c>
      <c r="B40" s="19" t="s">
        <v>190</v>
      </c>
      <c r="C40" s="19"/>
      <c r="D40" s="2" t="s">
        <v>191</v>
      </c>
      <c r="E40" s="2" t="s">
        <v>35</v>
      </c>
      <c r="F40" s="2">
        <f>EDU*2+MAX(STR*2,DEX*2)</f>
        <v>0</v>
      </c>
      <c r="G40" s="20" t="s">
        <v>192</v>
      </c>
      <c r="H40" s="6" t="s">
        <v>193</v>
      </c>
      <c r="I40" s="6"/>
      <c r="J40" s="7" t="s">
        <v>194</v>
      </c>
      <c r="K40" s="8"/>
      <c r="L40" s="3"/>
      <c r="M40" s="3"/>
      <c r="N40" s="5"/>
    </row>
    <row r="41" spans="1:14" ht="16.5">
      <c r="A41" s="67">
        <v>39</v>
      </c>
      <c r="B41" s="68" t="s">
        <v>195</v>
      </c>
      <c r="C41" s="68"/>
      <c r="D41" s="69" t="s">
        <v>139</v>
      </c>
      <c r="E41" s="70" t="s">
        <v>41</v>
      </c>
      <c r="F41" s="70">
        <f>EDU*4</f>
        <v>0</v>
      </c>
      <c r="G41" s="71" t="s">
        <v>196</v>
      </c>
      <c r="H41" s="6" t="s">
        <v>197</v>
      </c>
      <c r="I41" s="6"/>
      <c r="J41" s="7" t="s">
        <v>198</v>
      </c>
      <c r="K41" s="8"/>
      <c r="L41" s="3"/>
      <c r="M41" s="3"/>
      <c r="N41" s="5"/>
    </row>
    <row r="42" spans="1:14" ht="16.5">
      <c r="A42" s="18">
        <v>40</v>
      </c>
      <c r="B42" s="19" t="s">
        <v>199</v>
      </c>
      <c r="C42" s="19"/>
      <c r="D42" s="2" t="s">
        <v>95</v>
      </c>
      <c r="E42" s="2" t="s">
        <v>41</v>
      </c>
      <c r="F42" s="2">
        <f>EDU*4</f>
        <v>0</v>
      </c>
      <c r="G42" s="20" t="s">
        <v>200</v>
      </c>
      <c r="H42" s="6" t="s">
        <v>201</v>
      </c>
      <c r="I42" s="6"/>
      <c r="J42" s="7" t="s">
        <v>202</v>
      </c>
      <c r="K42" s="8"/>
      <c r="L42" s="3"/>
      <c r="M42" s="3"/>
      <c r="N42" s="5"/>
    </row>
    <row r="43" spans="1:14" ht="16.5">
      <c r="A43" s="67">
        <v>41</v>
      </c>
      <c r="B43" s="68" t="s">
        <v>203</v>
      </c>
      <c r="C43" s="68"/>
      <c r="D43" s="69" t="s">
        <v>181</v>
      </c>
      <c r="E43" s="70" t="s">
        <v>41</v>
      </c>
      <c r="F43" s="70">
        <f>EDU*4</f>
        <v>0</v>
      </c>
      <c r="G43" s="71" t="s">
        <v>204</v>
      </c>
      <c r="H43" s="6" t="s">
        <v>205</v>
      </c>
      <c r="I43" s="6"/>
      <c r="J43" s="7" t="s">
        <v>206</v>
      </c>
      <c r="K43" s="8"/>
      <c r="L43" s="3"/>
      <c r="M43" s="3"/>
      <c r="N43" s="5"/>
    </row>
    <row r="44" spans="1:14" ht="16.5">
      <c r="A44" s="18">
        <v>42</v>
      </c>
      <c r="B44" s="19" t="s">
        <v>207</v>
      </c>
      <c r="C44" s="19"/>
      <c r="D44" s="2" t="s">
        <v>208</v>
      </c>
      <c r="E44" s="2" t="s">
        <v>25</v>
      </c>
      <c r="F44" s="2">
        <f>EDU*2+APP*2</f>
        <v>0</v>
      </c>
      <c r="G44" s="20" t="s">
        <v>209</v>
      </c>
      <c r="H44" s="6" t="s">
        <v>210</v>
      </c>
      <c r="I44" s="6"/>
      <c r="J44" s="7" t="s">
        <v>211</v>
      </c>
      <c r="K44" s="8"/>
      <c r="L44" s="3"/>
      <c r="M44" s="3"/>
      <c r="N44" s="5"/>
    </row>
    <row r="45" spans="1:14" ht="16.5">
      <c r="A45" s="67">
        <v>43</v>
      </c>
      <c r="B45" s="68" t="s">
        <v>212</v>
      </c>
      <c r="C45" s="68"/>
      <c r="D45" s="69" t="s">
        <v>85</v>
      </c>
      <c r="E45" s="70" t="s">
        <v>157</v>
      </c>
      <c r="F45" s="70">
        <f>EDU*2+DEX*2</f>
        <v>0</v>
      </c>
      <c r="G45" s="71" t="s">
        <v>213</v>
      </c>
      <c r="H45" s="6" t="s">
        <v>214</v>
      </c>
      <c r="I45" s="6"/>
      <c r="J45" s="7" t="s">
        <v>215</v>
      </c>
      <c r="K45" s="8"/>
      <c r="L45" s="3"/>
      <c r="M45" s="3"/>
      <c r="N45" s="5"/>
    </row>
    <row r="46" spans="1:14" ht="16.5">
      <c r="A46" s="18">
        <v>44</v>
      </c>
      <c r="B46" s="19" t="s">
        <v>216</v>
      </c>
      <c r="C46" s="19"/>
      <c r="D46" s="2" t="s">
        <v>217</v>
      </c>
      <c r="E46" s="2" t="s">
        <v>41</v>
      </c>
      <c r="F46" s="2">
        <f>EDU*4</f>
        <v>0</v>
      </c>
      <c r="G46" s="20" t="s">
        <v>218</v>
      </c>
      <c r="H46" s="6" t="s">
        <v>219</v>
      </c>
      <c r="I46" s="6"/>
      <c r="J46" s="7" t="s">
        <v>220</v>
      </c>
      <c r="K46" s="8"/>
      <c r="L46" s="3"/>
      <c r="M46" s="3"/>
      <c r="N46" s="5"/>
    </row>
    <row r="47" spans="1:14" ht="16.5">
      <c r="A47" s="67">
        <v>45</v>
      </c>
      <c r="B47" s="68" t="s">
        <v>221</v>
      </c>
      <c r="C47" s="68"/>
      <c r="D47" s="69" t="s">
        <v>222</v>
      </c>
      <c r="E47" s="70" t="s">
        <v>223</v>
      </c>
      <c r="F47" s="70">
        <f>EDU*2+MAX(DEX*2,APP*2,STR*2)</f>
        <v>0</v>
      </c>
      <c r="G47" s="71" t="s">
        <v>224</v>
      </c>
      <c r="H47" s="6" t="s">
        <v>225</v>
      </c>
      <c r="I47" s="6"/>
      <c r="J47" s="7" t="s">
        <v>226</v>
      </c>
      <c r="K47" s="8"/>
      <c r="L47" s="3"/>
      <c r="M47" s="3"/>
      <c r="N47" s="5"/>
    </row>
    <row r="48" spans="1:14" ht="16.5">
      <c r="A48" s="18">
        <v>46</v>
      </c>
      <c r="B48" s="19" t="s">
        <v>227</v>
      </c>
      <c r="C48" s="19"/>
      <c r="D48" s="2" t="s">
        <v>46</v>
      </c>
      <c r="E48" s="2" t="s">
        <v>19</v>
      </c>
      <c r="F48" s="2">
        <f>EDU*2+DEX*2</f>
        <v>0</v>
      </c>
      <c r="G48" s="20" t="s">
        <v>228</v>
      </c>
      <c r="H48" s="6" t="s">
        <v>229</v>
      </c>
      <c r="I48" s="6"/>
      <c r="J48" s="7" t="s">
        <v>230</v>
      </c>
      <c r="K48" s="8"/>
      <c r="L48" s="3"/>
      <c r="M48" s="3"/>
      <c r="N48" s="5"/>
    </row>
    <row r="49" spans="1:14" ht="16.5">
      <c r="A49" s="67">
        <v>47</v>
      </c>
      <c r="B49" s="68" t="s">
        <v>231</v>
      </c>
      <c r="C49" s="68"/>
      <c r="D49" s="69" t="s">
        <v>18</v>
      </c>
      <c r="E49" s="70" t="s">
        <v>35</v>
      </c>
      <c r="F49" s="70">
        <f>EDU*2+MAX(STR*2,DEX*2)</f>
        <v>0</v>
      </c>
      <c r="G49" s="71" t="s">
        <v>232</v>
      </c>
      <c r="H49" s="6" t="s">
        <v>233</v>
      </c>
      <c r="I49" s="6"/>
      <c r="J49" s="7" t="s">
        <v>234</v>
      </c>
      <c r="K49" s="8"/>
      <c r="L49" s="3"/>
      <c r="M49" s="3"/>
      <c r="N49" s="5"/>
    </row>
    <row r="50" spans="1:14" ht="16.5">
      <c r="A50" s="18">
        <v>48</v>
      </c>
      <c r="B50" s="19" t="s">
        <v>235</v>
      </c>
      <c r="C50" s="19"/>
      <c r="D50" s="2" t="s">
        <v>85</v>
      </c>
      <c r="E50" s="2" t="s">
        <v>157</v>
      </c>
      <c r="F50" s="2">
        <f>EDU*2+DEX*2</f>
        <v>0</v>
      </c>
      <c r="G50" s="20" t="s">
        <v>236</v>
      </c>
      <c r="H50" s="6" t="s">
        <v>237</v>
      </c>
      <c r="I50" s="6"/>
      <c r="J50" s="7" t="s">
        <v>238</v>
      </c>
      <c r="K50" s="8"/>
      <c r="L50" s="3"/>
      <c r="M50" s="3"/>
      <c r="N50" s="5"/>
    </row>
    <row r="51" spans="1:14" ht="16.5">
      <c r="A51" s="67">
        <v>49</v>
      </c>
      <c r="B51" s="68" t="s">
        <v>239</v>
      </c>
      <c r="C51" s="68"/>
      <c r="D51" s="69" t="s">
        <v>240</v>
      </c>
      <c r="E51" s="70" t="s">
        <v>41</v>
      </c>
      <c r="F51" s="70">
        <f>EDU*4</f>
        <v>0</v>
      </c>
      <c r="G51" s="71" t="s">
        <v>241</v>
      </c>
      <c r="H51" s="6" t="s">
        <v>242</v>
      </c>
      <c r="I51" s="6"/>
      <c r="J51" s="7" t="s">
        <v>243</v>
      </c>
      <c r="K51" s="8"/>
      <c r="L51" s="3"/>
      <c r="M51" s="3"/>
      <c r="N51" s="5"/>
    </row>
    <row r="52" spans="1:14" ht="16.5">
      <c r="A52" s="18">
        <v>50</v>
      </c>
      <c r="B52" s="19" t="s">
        <v>244</v>
      </c>
      <c r="C52" s="19"/>
      <c r="D52" s="2" t="s">
        <v>245</v>
      </c>
      <c r="E52" s="2" t="s">
        <v>162</v>
      </c>
      <c r="F52" s="2">
        <f>EDU*2+APP*2</f>
        <v>0</v>
      </c>
      <c r="G52" s="20" t="s">
        <v>246</v>
      </c>
      <c r="H52" s="6" t="s">
        <v>247</v>
      </c>
      <c r="I52" s="6"/>
      <c r="J52" s="7" t="s">
        <v>248</v>
      </c>
      <c r="K52" s="8"/>
      <c r="L52" s="3"/>
      <c r="M52" s="3"/>
      <c r="N52" s="5"/>
    </row>
    <row r="53" spans="1:14" ht="16.5">
      <c r="A53" s="67">
        <v>51</v>
      </c>
      <c r="B53" s="68" t="s">
        <v>249</v>
      </c>
      <c r="C53" s="68"/>
      <c r="D53" s="69" t="s">
        <v>139</v>
      </c>
      <c r="E53" s="70" t="s">
        <v>41</v>
      </c>
      <c r="F53" s="70">
        <f>EDU*4</f>
        <v>0</v>
      </c>
      <c r="G53" s="71" t="s">
        <v>250</v>
      </c>
      <c r="H53" s="6" t="s">
        <v>251</v>
      </c>
      <c r="I53" s="6"/>
      <c r="J53" s="7" t="s">
        <v>252</v>
      </c>
      <c r="K53" s="8"/>
      <c r="L53" s="3"/>
      <c r="M53" s="3"/>
      <c r="N53" s="5"/>
    </row>
    <row r="54" spans="1:14" ht="16.5">
      <c r="A54" s="18">
        <v>52</v>
      </c>
      <c r="B54" s="19" t="s">
        <v>253</v>
      </c>
      <c r="C54" s="19"/>
      <c r="D54" s="2" t="s">
        <v>80</v>
      </c>
      <c r="E54" s="2" t="s">
        <v>25</v>
      </c>
      <c r="F54" s="2">
        <f>EDU*2+APP*2</f>
        <v>0</v>
      </c>
      <c r="G54" s="20" t="s">
        <v>254</v>
      </c>
      <c r="H54" s="6" t="s">
        <v>255</v>
      </c>
      <c r="I54" s="6"/>
      <c r="J54" s="7" t="s">
        <v>256</v>
      </c>
      <c r="K54" s="8"/>
      <c r="L54" s="3"/>
      <c r="M54" s="3"/>
      <c r="N54" s="5"/>
    </row>
    <row r="55" spans="1:14" ht="16.5">
      <c r="A55" s="67">
        <v>53</v>
      </c>
      <c r="B55" s="68" t="s">
        <v>257</v>
      </c>
      <c r="C55" s="68"/>
      <c r="D55" s="69" t="s">
        <v>258</v>
      </c>
      <c r="E55" s="70" t="s">
        <v>223</v>
      </c>
      <c r="F55" s="70">
        <f>EDU*2+MAX(DEX*2,APP*2,STR*2)</f>
        <v>0</v>
      </c>
      <c r="G55" s="71" t="s">
        <v>259</v>
      </c>
      <c r="H55" s="6" t="s">
        <v>260</v>
      </c>
      <c r="I55" s="6"/>
      <c r="J55" s="7" t="s">
        <v>261</v>
      </c>
      <c r="K55" s="8"/>
      <c r="L55" s="3"/>
      <c r="M55" s="3"/>
      <c r="N55" s="5"/>
    </row>
    <row r="56" spans="1:14" ht="16.5">
      <c r="A56" s="18">
        <v>54</v>
      </c>
      <c r="B56" s="19" t="s">
        <v>262</v>
      </c>
      <c r="C56" s="19"/>
      <c r="D56" s="2" t="s">
        <v>85</v>
      </c>
      <c r="E56" s="2" t="s">
        <v>35</v>
      </c>
      <c r="F56" s="2">
        <f>EDU*2+MAX(STR*2,DEX*2)</f>
        <v>0</v>
      </c>
      <c r="G56" s="20" t="s">
        <v>263</v>
      </c>
      <c r="H56" s="6" t="s">
        <v>264</v>
      </c>
      <c r="I56" s="6"/>
      <c r="J56" s="7" t="s">
        <v>265</v>
      </c>
      <c r="K56" s="8"/>
      <c r="L56" s="3"/>
      <c r="M56" s="3"/>
      <c r="N56" s="5"/>
    </row>
    <row r="57" spans="1:14" ht="16.5">
      <c r="A57" s="67">
        <v>55</v>
      </c>
      <c r="B57" s="68" t="s">
        <v>266</v>
      </c>
      <c r="C57" s="68"/>
      <c r="D57" s="69" t="s">
        <v>100</v>
      </c>
      <c r="E57" s="70" t="s">
        <v>41</v>
      </c>
      <c r="F57" s="70">
        <f>EDU*4</f>
        <v>0</v>
      </c>
      <c r="G57" s="71" t="s">
        <v>267</v>
      </c>
      <c r="H57" s="6" t="s">
        <v>268</v>
      </c>
      <c r="I57" s="6"/>
      <c r="J57" s="7" t="s">
        <v>269</v>
      </c>
      <c r="K57" s="8"/>
      <c r="L57" s="3"/>
      <c r="M57" s="3"/>
      <c r="N57" s="5"/>
    </row>
    <row r="58" spans="1:14" ht="16.5">
      <c r="A58" s="18">
        <v>56</v>
      </c>
      <c r="B58" s="19" t="s">
        <v>270</v>
      </c>
      <c r="C58" s="19"/>
      <c r="D58" s="2" t="s">
        <v>85</v>
      </c>
      <c r="E58" s="2" t="s">
        <v>35</v>
      </c>
      <c r="F58" s="2">
        <f>EDU*2+MAX(STR*2,DEX*2)</f>
        <v>0</v>
      </c>
      <c r="G58" s="20" t="s">
        <v>271</v>
      </c>
      <c r="H58" s="6" t="s">
        <v>272</v>
      </c>
      <c r="I58" s="6"/>
      <c r="J58" s="7" t="s">
        <v>273</v>
      </c>
      <c r="K58" s="8"/>
      <c r="L58" s="3"/>
      <c r="M58" s="3"/>
      <c r="N58" s="5"/>
    </row>
    <row r="59" spans="1:14" ht="16.5">
      <c r="A59" s="67">
        <v>57</v>
      </c>
      <c r="B59" s="68" t="s">
        <v>274</v>
      </c>
      <c r="C59" s="68"/>
      <c r="D59" s="69" t="s">
        <v>46</v>
      </c>
      <c r="E59" s="70" t="s">
        <v>41</v>
      </c>
      <c r="F59" s="70">
        <f>EDU*4</f>
        <v>0</v>
      </c>
      <c r="G59" s="71" t="s">
        <v>275</v>
      </c>
      <c r="H59" s="6" t="s">
        <v>276</v>
      </c>
      <c r="I59" s="6"/>
      <c r="J59" s="7" t="s">
        <v>277</v>
      </c>
      <c r="K59" s="8"/>
      <c r="L59" s="3"/>
      <c r="M59" s="3"/>
      <c r="N59" s="5"/>
    </row>
    <row r="60" spans="1:14" ht="16.5">
      <c r="A60" s="18">
        <v>58</v>
      </c>
      <c r="B60" s="19" t="s">
        <v>278</v>
      </c>
      <c r="C60" s="19"/>
      <c r="D60" s="2" t="s">
        <v>279</v>
      </c>
      <c r="E60" s="2" t="s">
        <v>41</v>
      </c>
      <c r="F60" s="2">
        <f>EDU*4</f>
        <v>0</v>
      </c>
      <c r="G60" s="20" t="s">
        <v>280</v>
      </c>
      <c r="H60" s="6" t="s">
        <v>281</v>
      </c>
      <c r="I60" s="6"/>
      <c r="J60" s="7" t="s">
        <v>282</v>
      </c>
      <c r="K60" s="8"/>
      <c r="L60" s="3"/>
      <c r="M60" s="3"/>
      <c r="N60" s="5"/>
    </row>
    <row r="61" spans="1:14" ht="16.5">
      <c r="A61" s="67">
        <v>59</v>
      </c>
      <c r="B61" s="68" t="s">
        <v>283</v>
      </c>
      <c r="C61" s="68"/>
      <c r="D61" s="69" t="s">
        <v>284</v>
      </c>
      <c r="E61" s="70" t="s">
        <v>285</v>
      </c>
      <c r="F61" s="70">
        <f>EDU*2+MAX(DEX*2,APP*2)</f>
        <v>0</v>
      </c>
      <c r="G61" s="71" t="s">
        <v>286</v>
      </c>
      <c r="H61" s="6" t="s">
        <v>287</v>
      </c>
      <c r="I61" s="6"/>
      <c r="J61" s="7" t="s">
        <v>288</v>
      </c>
      <c r="K61" s="8"/>
      <c r="L61" s="3"/>
      <c r="M61" s="3"/>
      <c r="N61" s="5"/>
    </row>
    <row r="62" spans="1:14" ht="16.5">
      <c r="A62" s="18">
        <v>60</v>
      </c>
      <c r="B62" s="19" t="s">
        <v>289</v>
      </c>
      <c r="C62" s="19"/>
      <c r="D62" s="2" t="s">
        <v>290</v>
      </c>
      <c r="E62" s="2" t="s">
        <v>25</v>
      </c>
      <c r="F62" s="2">
        <f>EDU*2+APP*2</f>
        <v>0</v>
      </c>
      <c r="G62" s="20" t="s">
        <v>291</v>
      </c>
      <c r="H62" s="6" t="s">
        <v>292</v>
      </c>
      <c r="I62" s="6"/>
      <c r="J62" s="7" t="s">
        <v>293</v>
      </c>
      <c r="K62" s="8"/>
      <c r="L62" s="3"/>
      <c r="M62" s="3"/>
      <c r="N62" s="5"/>
    </row>
    <row r="63" spans="1:14" ht="16.5">
      <c r="A63" s="67">
        <v>61</v>
      </c>
      <c r="B63" s="68" t="s">
        <v>294</v>
      </c>
      <c r="C63" s="68"/>
      <c r="D63" s="69" t="s">
        <v>18</v>
      </c>
      <c r="E63" s="70" t="s">
        <v>35</v>
      </c>
      <c r="F63" s="70">
        <f>EDU*2+MAX(STR*2,DEX*2)</f>
        <v>0</v>
      </c>
      <c r="G63" s="71" t="s">
        <v>295</v>
      </c>
      <c r="H63" s="6" t="s">
        <v>296</v>
      </c>
      <c r="I63" s="6"/>
      <c r="J63" s="7" t="s">
        <v>293</v>
      </c>
      <c r="K63" s="8"/>
      <c r="L63" s="3"/>
      <c r="M63" s="3"/>
      <c r="N63" s="5"/>
    </row>
    <row r="64" spans="1:14" ht="16.5">
      <c r="A64" s="18">
        <v>62</v>
      </c>
      <c r="B64" s="19" t="s">
        <v>297</v>
      </c>
      <c r="C64" s="19"/>
      <c r="D64" s="2" t="s">
        <v>298</v>
      </c>
      <c r="E64" s="2" t="s">
        <v>162</v>
      </c>
      <c r="F64" s="2">
        <f>EDU*2+APP*2</f>
        <v>0</v>
      </c>
      <c r="G64" s="20" t="s">
        <v>299</v>
      </c>
      <c r="H64" s="6" t="s">
        <v>300</v>
      </c>
      <c r="I64" s="6"/>
      <c r="J64" s="7" t="s">
        <v>301</v>
      </c>
      <c r="K64" s="8"/>
      <c r="L64" s="3"/>
      <c r="M64" s="3"/>
      <c r="N64" s="5"/>
    </row>
    <row r="65" spans="1:14" ht="16.5">
      <c r="A65" s="67">
        <v>63</v>
      </c>
      <c r="B65" s="68" t="s">
        <v>302</v>
      </c>
      <c r="C65" s="68"/>
      <c r="D65" s="69" t="s">
        <v>222</v>
      </c>
      <c r="E65" s="70" t="s">
        <v>303</v>
      </c>
      <c r="F65" s="70">
        <f>EDU*2+MAX(DEX*2,APP*2)</f>
        <v>0</v>
      </c>
      <c r="G65" s="71" t="s">
        <v>304</v>
      </c>
      <c r="H65" s="6" t="s">
        <v>305</v>
      </c>
      <c r="I65" s="6"/>
      <c r="J65" s="7" t="s">
        <v>306</v>
      </c>
      <c r="K65" s="8"/>
      <c r="L65" s="3"/>
      <c r="M65" s="3"/>
      <c r="N65" s="5"/>
    </row>
    <row r="66" spans="1:14" ht="16.5">
      <c r="A66" s="18">
        <v>64</v>
      </c>
      <c r="B66" s="19" t="s">
        <v>307</v>
      </c>
      <c r="C66" s="19"/>
      <c r="D66" s="2" t="s">
        <v>308</v>
      </c>
      <c r="E66" s="2" t="s">
        <v>309</v>
      </c>
      <c r="F66" s="2">
        <f>EDU*2+STR*2</f>
        <v>0</v>
      </c>
      <c r="G66" s="20" t="s">
        <v>310</v>
      </c>
      <c r="H66" s="6" t="s">
        <v>311</v>
      </c>
      <c r="I66" s="6"/>
      <c r="J66" s="7" t="s">
        <v>312</v>
      </c>
      <c r="K66" s="8"/>
      <c r="L66" s="3"/>
      <c r="M66" s="3"/>
      <c r="N66" s="5"/>
    </row>
    <row r="67" spans="1:14" ht="16.5">
      <c r="A67" s="67">
        <v>65</v>
      </c>
      <c r="B67" s="68" t="s">
        <v>313</v>
      </c>
      <c r="C67" s="68"/>
      <c r="D67" s="69" t="s">
        <v>85</v>
      </c>
      <c r="E67" s="70" t="s">
        <v>41</v>
      </c>
      <c r="F67" s="70">
        <f>EDU*4</f>
        <v>0</v>
      </c>
      <c r="G67" s="71" t="s">
        <v>314</v>
      </c>
      <c r="H67" s="6" t="s">
        <v>315</v>
      </c>
      <c r="I67" s="6"/>
      <c r="J67" s="7" t="s">
        <v>316</v>
      </c>
      <c r="K67" s="8"/>
      <c r="L67" s="3"/>
      <c r="M67" s="3"/>
      <c r="N67" s="5"/>
    </row>
    <row r="68" spans="1:14" ht="16.5">
      <c r="A68" s="18">
        <v>66</v>
      </c>
      <c r="B68" s="19" t="s">
        <v>317</v>
      </c>
      <c r="C68" s="19"/>
      <c r="D68" s="2" t="s">
        <v>85</v>
      </c>
      <c r="E68" s="2" t="s">
        <v>41</v>
      </c>
      <c r="F68" s="2">
        <f>EDU*4</f>
        <v>0</v>
      </c>
      <c r="G68" s="20" t="s">
        <v>318</v>
      </c>
      <c r="H68" s="6" t="s">
        <v>319</v>
      </c>
      <c r="I68" s="6"/>
      <c r="J68" s="7" t="s">
        <v>320</v>
      </c>
      <c r="K68" s="8"/>
      <c r="L68" s="3"/>
      <c r="M68" s="3"/>
      <c r="N68" s="3"/>
    </row>
    <row r="69" spans="1:14" ht="16.5">
      <c r="A69" s="67">
        <v>67</v>
      </c>
      <c r="B69" s="68" t="s">
        <v>321</v>
      </c>
      <c r="C69" s="68"/>
      <c r="D69" s="69" t="s">
        <v>322</v>
      </c>
      <c r="E69" s="70" t="s">
        <v>41</v>
      </c>
      <c r="F69" s="70">
        <f>EDU*4</f>
        <v>0</v>
      </c>
      <c r="G69" s="71" t="s">
        <v>323</v>
      </c>
      <c r="H69" s="6" t="s">
        <v>324</v>
      </c>
      <c r="I69" s="6"/>
      <c r="J69" s="7" t="s">
        <v>325</v>
      </c>
      <c r="K69" s="8"/>
      <c r="L69" s="3"/>
      <c r="M69" s="3"/>
      <c r="N69" s="3"/>
    </row>
    <row r="70" spans="1:14" ht="16.5">
      <c r="A70" s="18">
        <v>68</v>
      </c>
      <c r="B70" s="19" t="s">
        <v>326</v>
      </c>
      <c r="C70" s="19"/>
      <c r="D70" s="2" t="s">
        <v>240</v>
      </c>
      <c r="E70" s="2" t="s">
        <v>41</v>
      </c>
      <c r="F70" s="2">
        <f>EDU*4</f>
        <v>0</v>
      </c>
      <c r="G70" s="20" t="s">
        <v>327</v>
      </c>
      <c r="H70" s="6" t="s">
        <v>328</v>
      </c>
      <c r="I70" s="6"/>
      <c r="J70" s="7" t="s">
        <v>329</v>
      </c>
      <c r="K70" s="8"/>
      <c r="L70" s="3"/>
      <c r="M70" s="3"/>
      <c r="N70" s="3"/>
    </row>
    <row r="71" spans="1:14" ht="16.5">
      <c r="A71" s="67">
        <v>69</v>
      </c>
      <c r="B71" s="68" t="s">
        <v>330</v>
      </c>
      <c r="C71" s="68"/>
      <c r="D71" s="69" t="s">
        <v>85</v>
      </c>
      <c r="E71" s="70" t="s">
        <v>35</v>
      </c>
      <c r="F71" s="70">
        <f>EDU*2+MAX(STR*2,DEX*2)</f>
        <v>0</v>
      </c>
      <c r="G71" s="71" t="s">
        <v>331</v>
      </c>
      <c r="H71" s="6" t="s">
        <v>332</v>
      </c>
      <c r="I71" s="6"/>
      <c r="J71" s="7" t="s">
        <v>333</v>
      </c>
      <c r="K71" s="8"/>
      <c r="L71" s="3"/>
      <c r="M71" s="3"/>
      <c r="N71" s="3"/>
    </row>
    <row r="72" spans="1:14" ht="16.5">
      <c r="A72" s="18">
        <v>70</v>
      </c>
      <c r="B72" s="19" t="s">
        <v>334</v>
      </c>
      <c r="C72" s="19"/>
      <c r="D72" s="2" t="s">
        <v>85</v>
      </c>
      <c r="E72" s="2" t="s">
        <v>35</v>
      </c>
      <c r="F72" s="2">
        <f>EDU*2+MAX(STR*2,DEX*2)</f>
        <v>0</v>
      </c>
      <c r="G72" s="20" t="s">
        <v>335</v>
      </c>
      <c r="H72" s="6" t="s">
        <v>336</v>
      </c>
      <c r="I72" s="6"/>
      <c r="J72" s="7" t="s">
        <v>333</v>
      </c>
      <c r="K72" s="8"/>
      <c r="L72" s="3"/>
      <c r="M72" s="3"/>
      <c r="N72" s="3"/>
    </row>
    <row r="73" spans="1:14" ht="16.5">
      <c r="A73" s="67">
        <v>71</v>
      </c>
      <c r="B73" s="68" t="s">
        <v>337</v>
      </c>
      <c r="C73" s="68"/>
      <c r="D73" s="69" t="s">
        <v>85</v>
      </c>
      <c r="E73" s="70" t="s">
        <v>35</v>
      </c>
      <c r="F73" s="70">
        <f>EDU*2+MAX(STR*2,DEX*2)</f>
        <v>0</v>
      </c>
      <c r="G73" s="71" t="s">
        <v>338</v>
      </c>
      <c r="H73" s="6" t="s">
        <v>339</v>
      </c>
      <c r="I73" s="6"/>
      <c r="J73" s="7" t="s">
        <v>333</v>
      </c>
      <c r="K73" s="8"/>
      <c r="L73" s="3"/>
      <c r="M73" s="3"/>
      <c r="N73" s="3"/>
    </row>
    <row r="74" spans="1:14" ht="16.5">
      <c r="A74" s="18">
        <v>72</v>
      </c>
      <c r="B74" s="19" t="s">
        <v>340</v>
      </c>
      <c r="C74" s="19"/>
      <c r="D74" s="2" t="s">
        <v>217</v>
      </c>
      <c r="E74" s="2" t="s">
        <v>41</v>
      </c>
      <c r="F74" s="2">
        <f>EDU*4</f>
        <v>0</v>
      </c>
      <c r="G74" s="20" t="s">
        <v>341</v>
      </c>
      <c r="H74" s="6" t="s">
        <v>342</v>
      </c>
      <c r="I74" s="6"/>
      <c r="J74" s="7" t="s">
        <v>343</v>
      </c>
      <c r="K74" s="8"/>
      <c r="L74" s="3"/>
      <c r="M74" s="3"/>
      <c r="N74" s="3"/>
    </row>
    <row r="75" spans="1:14" ht="16.5">
      <c r="A75" s="67">
        <v>73</v>
      </c>
      <c r="B75" s="68" t="s">
        <v>344</v>
      </c>
      <c r="C75" s="68"/>
      <c r="D75" s="69" t="s">
        <v>345</v>
      </c>
      <c r="E75" s="70" t="s">
        <v>41</v>
      </c>
      <c r="F75" s="70">
        <f>EDU*4</f>
        <v>0</v>
      </c>
      <c r="G75" s="71" t="s">
        <v>346</v>
      </c>
      <c r="H75" s="6" t="s">
        <v>347</v>
      </c>
      <c r="I75" s="6"/>
      <c r="J75" s="7" t="s">
        <v>348</v>
      </c>
      <c r="K75" s="8"/>
      <c r="L75" s="3"/>
      <c r="M75" s="3"/>
      <c r="N75" s="3"/>
    </row>
    <row r="76" spans="1:14" ht="16.5">
      <c r="A76" s="18">
        <v>74</v>
      </c>
      <c r="B76" s="19" t="s">
        <v>349</v>
      </c>
      <c r="C76" s="19"/>
      <c r="D76" s="2" t="s">
        <v>24</v>
      </c>
      <c r="E76" s="2" t="s">
        <v>41</v>
      </c>
      <c r="F76" s="2">
        <f>EDU*4</f>
        <v>0</v>
      </c>
      <c r="G76" s="20" t="s">
        <v>350</v>
      </c>
      <c r="H76" s="6" t="s">
        <v>351</v>
      </c>
      <c r="I76" s="6"/>
      <c r="J76" s="7" t="s">
        <v>352</v>
      </c>
      <c r="K76" s="8"/>
      <c r="L76" s="3"/>
      <c r="M76" s="3"/>
      <c r="N76" s="3"/>
    </row>
    <row r="77" spans="1:14" ht="16.5">
      <c r="A77" s="67">
        <v>75</v>
      </c>
      <c r="B77" s="68" t="s">
        <v>353</v>
      </c>
      <c r="C77" s="68"/>
      <c r="D77" s="69" t="s">
        <v>354</v>
      </c>
      <c r="E77" s="70" t="s">
        <v>35</v>
      </c>
      <c r="F77" s="70">
        <f>EDU*2+MAX(STR*2,DEX*2)</f>
        <v>0</v>
      </c>
      <c r="G77" s="71" t="s">
        <v>355</v>
      </c>
      <c r="H77" s="6" t="s">
        <v>356</v>
      </c>
      <c r="I77" s="6"/>
      <c r="J77" s="7" t="s">
        <v>357</v>
      </c>
      <c r="K77" s="8"/>
      <c r="L77" s="3"/>
      <c r="M77" s="3"/>
      <c r="N77" s="3"/>
    </row>
    <row r="78" spans="1:14" ht="16.5">
      <c r="A78" s="18">
        <v>76</v>
      </c>
      <c r="B78" s="19" t="s">
        <v>358</v>
      </c>
      <c r="C78" s="19"/>
      <c r="D78" s="2" t="s">
        <v>359</v>
      </c>
      <c r="E78" s="2" t="s">
        <v>25</v>
      </c>
      <c r="F78" s="2">
        <f>EDU*2+APP*2</f>
        <v>0</v>
      </c>
      <c r="G78" s="20" t="s">
        <v>360</v>
      </c>
      <c r="H78" s="6" t="s">
        <v>361</v>
      </c>
      <c r="I78" s="6"/>
      <c r="J78" s="7" t="s">
        <v>362</v>
      </c>
      <c r="K78" s="8"/>
      <c r="L78" s="3"/>
      <c r="M78" s="3"/>
      <c r="N78" s="3"/>
    </row>
    <row r="79" spans="1:14" ht="16.5">
      <c r="A79" s="67">
        <v>77</v>
      </c>
      <c r="B79" s="68" t="s">
        <v>363</v>
      </c>
      <c r="C79" s="68"/>
      <c r="D79" s="69" t="s">
        <v>139</v>
      </c>
      <c r="E79" s="70" t="s">
        <v>35</v>
      </c>
      <c r="F79" s="70">
        <f>EDU*2+MAX(STR*2,DEX*2)</f>
        <v>0</v>
      </c>
      <c r="G79" s="71" t="s">
        <v>364</v>
      </c>
      <c r="H79" s="6" t="s">
        <v>365</v>
      </c>
      <c r="I79" s="6"/>
      <c r="J79" s="7" t="s">
        <v>366</v>
      </c>
      <c r="K79" s="8"/>
      <c r="L79" s="3"/>
      <c r="M79" s="3"/>
      <c r="N79" s="3"/>
    </row>
    <row r="80" spans="1:14" ht="16.5">
      <c r="A80" s="18">
        <v>78</v>
      </c>
      <c r="B80" s="19" t="s">
        <v>367</v>
      </c>
      <c r="C80" s="19"/>
      <c r="D80" s="2" t="s">
        <v>240</v>
      </c>
      <c r="E80" s="2" t="s">
        <v>41</v>
      </c>
      <c r="F80" s="2">
        <f>EDU*4</f>
        <v>0</v>
      </c>
      <c r="G80" s="20" t="s">
        <v>368</v>
      </c>
      <c r="H80" s="6" t="s">
        <v>369</v>
      </c>
      <c r="I80" s="6"/>
      <c r="J80" s="7" t="s">
        <v>370</v>
      </c>
      <c r="K80" s="8"/>
      <c r="L80" s="3"/>
      <c r="M80" s="3"/>
      <c r="N80" s="3"/>
    </row>
    <row r="81" spans="1:14" ht="16.5">
      <c r="A81" s="67">
        <v>79</v>
      </c>
      <c r="B81" s="68" t="s">
        <v>371</v>
      </c>
      <c r="C81" s="68"/>
      <c r="D81" s="69" t="s">
        <v>85</v>
      </c>
      <c r="E81" s="70" t="s">
        <v>372</v>
      </c>
      <c r="F81" s="70">
        <f>EDU*2+MAX(POW*2,DEX*2)</f>
        <v>0</v>
      </c>
      <c r="G81" s="71" t="s">
        <v>373</v>
      </c>
      <c r="H81" s="6" t="s">
        <v>374</v>
      </c>
      <c r="I81" s="6"/>
      <c r="J81" s="7" t="s">
        <v>375</v>
      </c>
      <c r="K81" s="8"/>
      <c r="L81" s="3"/>
      <c r="M81" s="3"/>
      <c r="N81" s="3"/>
    </row>
    <row r="82" spans="1:14" ht="16.5">
      <c r="A82" s="18">
        <v>80</v>
      </c>
      <c r="B82" s="19" t="s">
        <v>376</v>
      </c>
      <c r="C82" s="19"/>
      <c r="D82" s="2" t="s">
        <v>85</v>
      </c>
      <c r="E82" s="2" t="s">
        <v>41</v>
      </c>
      <c r="F82" s="2">
        <f>EDU*4</f>
        <v>0</v>
      </c>
      <c r="G82" s="20" t="s">
        <v>377</v>
      </c>
      <c r="H82" s="6" t="s">
        <v>378</v>
      </c>
      <c r="I82" s="6"/>
      <c r="J82" s="7" t="s">
        <v>379</v>
      </c>
      <c r="K82" s="8"/>
      <c r="L82" s="3"/>
      <c r="M82" s="3"/>
      <c r="N82" s="3"/>
    </row>
    <row r="83" spans="1:14" ht="16.5">
      <c r="A83" s="67">
        <v>81</v>
      </c>
      <c r="B83" s="68" t="s">
        <v>380</v>
      </c>
      <c r="C83" s="68"/>
      <c r="D83" s="69" t="s">
        <v>381</v>
      </c>
      <c r="E83" s="70" t="s">
        <v>41</v>
      </c>
      <c r="F83" s="70">
        <f>EDU*4</f>
        <v>0</v>
      </c>
      <c r="G83" s="71" t="s">
        <v>382</v>
      </c>
      <c r="H83" s="6" t="s">
        <v>383</v>
      </c>
      <c r="I83" s="6"/>
      <c r="J83" s="7" t="s">
        <v>384</v>
      </c>
      <c r="K83" s="8"/>
      <c r="L83" s="3"/>
      <c r="M83" s="3"/>
      <c r="N83" s="3"/>
    </row>
    <row r="84" spans="1:14" ht="16.5">
      <c r="A84" s="18">
        <v>82</v>
      </c>
      <c r="B84" s="19" t="s">
        <v>385</v>
      </c>
      <c r="C84" s="19"/>
      <c r="D84" s="2" t="s">
        <v>386</v>
      </c>
      <c r="E84" s="2" t="s">
        <v>35</v>
      </c>
      <c r="F84" s="2">
        <f>EDU*2+MAX(STR*2,DEX*2)</f>
        <v>0</v>
      </c>
      <c r="G84" s="20" t="s">
        <v>387</v>
      </c>
      <c r="H84" s="6" t="s">
        <v>388</v>
      </c>
      <c r="I84" s="6"/>
      <c r="J84" s="7" t="s">
        <v>389</v>
      </c>
      <c r="K84" s="8"/>
      <c r="L84" s="3"/>
      <c r="M84" s="3"/>
      <c r="N84" s="3"/>
    </row>
    <row r="85" spans="1:14" ht="16.5">
      <c r="A85" s="67">
        <v>83</v>
      </c>
      <c r="B85" s="68" t="s">
        <v>390</v>
      </c>
      <c r="C85" s="68"/>
      <c r="D85" s="69" t="s">
        <v>85</v>
      </c>
      <c r="E85" s="70" t="s">
        <v>41</v>
      </c>
      <c r="F85" s="70">
        <f>EDU*4</f>
        <v>0</v>
      </c>
      <c r="G85" s="71" t="s">
        <v>391</v>
      </c>
      <c r="H85" s="6" t="s">
        <v>392</v>
      </c>
      <c r="I85" s="6"/>
      <c r="J85" s="7" t="s">
        <v>393</v>
      </c>
      <c r="K85" s="8"/>
      <c r="L85" s="3"/>
      <c r="M85" s="3"/>
      <c r="N85" s="3"/>
    </row>
    <row r="86" spans="1:14" ht="16.5">
      <c r="A86" s="18">
        <v>84</v>
      </c>
      <c r="B86" s="19" t="s">
        <v>394</v>
      </c>
      <c r="C86" s="19"/>
      <c r="D86" s="2" t="s">
        <v>395</v>
      </c>
      <c r="E86" s="2" t="s">
        <v>41</v>
      </c>
      <c r="F86" s="2">
        <f>EDU*4</f>
        <v>0</v>
      </c>
      <c r="G86" s="20" t="s">
        <v>396</v>
      </c>
      <c r="H86" s="6" t="s">
        <v>397</v>
      </c>
      <c r="I86" s="6"/>
      <c r="J86" s="7" t="s">
        <v>398</v>
      </c>
      <c r="K86" s="8"/>
      <c r="L86" s="3"/>
      <c r="M86" s="3"/>
      <c r="N86" s="3"/>
    </row>
    <row r="87" spans="1:14" ht="16.5">
      <c r="A87" s="67">
        <v>85</v>
      </c>
      <c r="B87" s="68" t="s">
        <v>399</v>
      </c>
      <c r="C87" s="68"/>
      <c r="D87" s="69" t="s">
        <v>85</v>
      </c>
      <c r="E87" s="70" t="s">
        <v>41</v>
      </c>
      <c r="F87" s="70">
        <f>EDU*4</f>
        <v>0</v>
      </c>
      <c r="G87" s="71" t="s">
        <v>400</v>
      </c>
      <c r="H87" s="6" t="s">
        <v>401</v>
      </c>
      <c r="I87" s="6"/>
      <c r="J87" s="7" t="s">
        <v>402</v>
      </c>
      <c r="K87" s="8"/>
      <c r="L87" s="3"/>
      <c r="M87" s="3"/>
      <c r="N87" s="3"/>
    </row>
    <row r="88" spans="1:14" ht="16.5">
      <c r="A88" s="18">
        <v>86</v>
      </c>
      <c r="B88" s="19" t="s">
        <v>403</v>
      </c>
      <c r="C88" s="19"/>
      <c r="D88" s="2" t="s">
        <v>240</v>
      </c>
      <c r="E88" s="2" t="s">
        <v>41</v>
      </c>
      <c r="F88" s="2">
        <f>EDU*4</f>
        <v>0</v>
      </c>
      <c r="G88" s="20" t="s">
        <v>404</v>
      </c>
      <c r="H88" s="6" t="s">
        <v>405</v>
      </c>
      <c r="I88" s="6"/>
      <c r="J88" s="7" t="s">
        <v>402</v>
      </c>
      <c r="K88" s="8"/>
      <c r="L88" s="3"/>
      <c r="M88" s="3"/>
      <c r="N88" s="3"/>
    </row>
    <row r="89" spans="1:14" ht="16.5">
      <c r="A89" s="67">
        <v>87</v>
      </c>
      <c r="B89" s="68" t="s">
        <v>406</v>
      </c>
      <c r="C89" s="68"/>
      <c r="D89" s="69" t="s">
        <v>354</v>
      </c>
      <c r="E89" s="70" t="s">
        <v>134</v>
      </c>
      <c r="F89" s="70">
        <f>EDU*2+DEX*2</f>
        <v>0</v>
      </c>
      <c r="G89" s="71" t="s">
        <v>407</v>
      </c>
      <c r="H89" s="6" t="s">
        <v>408</v>
      </c>
      <c r="I89" s="6"/>
      <c r="J89" s="7" t="s">
        <v>409</v>
      </c>
      <c r="K89" s="8"/>
      <c r="L89" s="3"/>
      <c r="M89" s="3"/>
      <c r="N89" s="3"/>
    </row>
    <row r="90" spans="1:14" ht="16.5">
      <c r="A90" s="18">
        <v>88</v>
      </c>
      <c r="B90" s="19" t="s">
        <v>410</v>
      </c>
      <c r="C90" s="19"/>
      <c r="D90" s="2" t="s">
        <v>139</v>
      </c>
      <c r="E90" s="2" t="s">
        <v>41</v>
      </c>
      <c r="F90" s="2">
        <f>EDU*4</f>
        <v>0</v>
      </c>
      <c r="G90" s="20" t="s">
        <v>411</v>
      </c>
      <c r="H90" s="6" t="s">
        <v>412</v>
      </c>
      <c r="I90" s="6"/>
      <c r="J90" s="7" t="s">
        <v>413</v>
      </c>
      <c r="K90" s="8"/>
      <c r="L90" s="3"/>
      <c r="M90" s="3"/>
      <c r="N90" s="3"/>
    </row>
    <row r="91" spans="1:14" ht="16.5">
      <c r="A91" s="67">
        <v>89</v>
      </c>
      <c r="B91" s="68" t="s">
        <v>414</v>
      </c>
      <c r="C91" s="68"/>
      <c r="D91" s="69" t="s">
        <v>95</v>
      </c>
      <c r="E91" s="70" t="s">
        <v>35</v>
      </c>
      <c r="F91" s="70">
        <f>EDU*2+MAX(STR*2,DEX*2)</f>
        <v>0</v>
      </c>
      <c r="G91" s="71" t="s">
        <v>415</v>
      </c>
      <c r="H91" s="6" t="s">
        <v>416</v>
      </c>
      <c r="I91" s="6"/>
      <c r="J91" s="7" t="s">
        <v>417</v>
      </c>
      <c r="K91" s="8"/>
      <c r="L91" s="3"/>
      <c r="M91" s="3"/>
      <c r="N91" s="3"/>
    </row>
    <row r="92" spans="1:14" ht="16.5">
      <c r="A92" s="18">
        <v>90</v>
      </c>
      <c r="B92" s="19" t="s">
        <v>418</v>
      </c>
      <c r="C92" s="19"/>
      <c r="D92" s="2" t="s">
        <v>85</v>
      </c>
      <c r="E92" s="2" t="s">
        <v>35</v>
      </c>
      <c r="F92" s="2">
        <f>EDU*2+MAX(STR*2,DEX*2)</f>
        <v>0</v>
      </c>
      <c r="G92" s="20" t="s">
        <v>419</v>
      </c>
      <c r="H92" s="6" t="s">
        <v>420</v>
      </c>
      <c r="I92" s="6"/>
      <c r="J92" s="7" t="s">
        <v>421</v>
      </c>
      <c r="K92" s="8"/>
      <c r="L92" s="3"/>
      <c r="M92" s="3"/>
      <c r="N92" s="3"/>
    </row>
    <row r="93" spans="1:14" ht="16.5">
      <c r="A93" s="67">
        <v>91</v>
      </c>
      <c r="B93" s="68" t="s">
        <v>422</v>
      </c>
      <c r="C93" s="68"/>
      <c r="D93" s="69" t="s">
        <v>85</v>
      </c>
      <c r="E93" s="70" t="s">
        <v>35</v>
      </c>
      <c r="F93" s="70">
        <f>EDU*2+MAX(STR*2,DEX*2)</f>
        <v>0</v>
      </c>
      <c r="G93" s="71" t="s">
        <v>423</v>
      </c>
      <c r="H93" s="6" t="s">
        <v>424</v>
      </c>
      <c r="I93" s="6"/>
      <c r="J93" s="7" t="s">
        <v>425</v>
      </c>
      <c r="K93" s="8"/>
      <c r="L93" s="3"/>
      <c r="M93" s="3"/>
      <c r="N93" s="3"/>
    </row>
    <row r="94" spans="1:14" ht="16.5">
      <c r="A94" s="18">
        <v>92</v>
      </c>
      <c r="B94" s="19" t="s">
        <v>426</v>
      </c>
      <c r="C94" s="19"/>
      <c r="D94" s="2" t="s">
        <v>354</v>
      </c>
      <c r="E94" s="2" t="s">
        <v>41</v>
      </c>
      <c r="F94" s="2">
        <f>EDU*4</f>
        <v>0</v>
      </c>
      <c r="G94" s="20" t="s">
        <v>427</v>
      </c>
      <c r="H94" s="6" t="s">
        <v>428</v>
      </c>
      <c r="I94" s="6"/>
      <c r="J94" s="7" t="s">
        <v>429</v>
      </c>
      <c r="K94" s="8"/>
      <c r="L94" s="3"/>
      <c r="M94" s="3"/>
      <c r="N94" s="3"/>
    </row>
    <row r="95" spans="1:14" ht="16.5">
      <c r="A95" s="67">
        <v>93</v>
      </c>
      <c r="B95" s="68" t="s">
        <v>430</v>
      </c>
      <c r="C95" s="68"/>
      <c r="D95" s="69" t="s">
        <v>431</v>
      </c>
      <c r="E95" s="70" t="s">
        <v>35</v>
      </c>
      <c r="F95" s="70">
        <f>EDU*2+MAX(STR*2,DEX*2)</f>
        <v>0</v>
      </c>
      <c r="G95" s="71" t="s">
        <v>432</v>
      </c>
      <c r="H95" s="6" t="s">
        <v>433</v>
      </c>
      <c r="I95" s="6"/>
      <c r="J95" s="7" t="s">
        <v>434</v>
      </c>
      <c r="K95" s="8"/>
      <c r="L95" s="3"/>
      <c r="M95" s="3"/>
      <c r="N95" s="3"/>
    </row>
    <row r="96" spans="1:14" ht="16.5">
      <c r="A96" s="18">
        <v>94</v>
      </c>
      <c r="B96" s="19" t="s">
        <v>435</v>
      </c>
      <c r="C96" s="19"/>
      <c r="D96" s="2" t="s">
        <v>436</v>
      </c>
      <c r="E96" s="2" t="s">
        <v>25</v>
      </c>
      <c r="F96" s="2">
        <f>EDU*2+APP*2</f>
        <v>0</v>
      </c>
      <c r="G96" s="20" t="s">
        <v>437</v>
      </c>
      <c r="H96" s="6" t="s">
        <v>438</v>
      </c>
      <c r="I96" s="6"/>
      <c r="J96" s="7" t="s">
        <v>439</v>
      </c>
      <c r="K96" s="8"/>
      <c r="L96" s="3"/>
      <c r="M96" s="3"/>
      <c r="N96" s="3"/>
    </row>
    <row r="97" spans="1:14" ht="16.5">
      <c r="A97" s="67">
        <v>95</v>
      </c>
      <c r="B97" s="68" t="s">
        <v>440</v>
      </c>
      <c r="C97" s="68"/>
      <c r="D97" s="69" t="s">
        <v>217</v>
      </c>
      <c r="E97" s="70" t="s">
        <v>41</v>
      </c>
      <c r="F97" s="70">
        <f>EDU*4</f>
        <v>0</v>
      </c>
      <c r="G97" s="71" t="s">
        <v>441</v>
      </c>
      <c r="H97" s="6" t="s">
        <v>442</v>
      </c>
      <c r="I97" s="6"/>
      <c r="J97" s="7" t="s">
        <v>443</v>
      </c>
      <c r="K97" s="8"/>
      <c r="L97" s="3"/>
      <c r="M97" s="3"/>
      <c r="N97" s="3"/>
    </row>
    <row r="98" spans="1:14" ht="16.5">
      <c r="A98" s="18">
        <v>96</v>
      </c>
      <c r="B98" s="19" t="s">
        <v>444</v>
      </c>
      <c r="C98" s="19"/>
      <c r="D98" s="2" t="s">
        <v>46</v>
      </c>
      <c r="E98" s="2" t="s">
        <v>41</v>
      </c>
      <c r="F98" s="2">
        <f>EDU*4</f>
        <v>0</v>
      </c>
      <c r="G98" s="20" t="s">
        <v>445</v>
      </c>
      <c r="H98" s="6" t="s">
        <v>446</v>
      </c>
      <c r="I98" s="6"/>
      <c r="J98" s="7" t="s">
        <v>447</v>
      </c>
      <c r="K98" s="8"/>
      <c r="L98" s="3"/>
      <c r="M98" s="3"/>
      <c r="N98" s="3"/>
    </row>
    <row r="99" spans="1:14" ht="16.5">
      <c r="A99" s="67">
        <v>97</v>
      </c>
      <c r="B99" s="68" t="s">
        <v>448</v>
      </c>
      <c r="C99" s="68"/>
      <c r="D99" s="69" t="s">
        <v>85</v>
      </c>
      <c r="E99" s="70" t="s">
        <v>41</v>
      </c>
      <c r="F99" s="70">
        <f>EDU*4</f>
        <v>0</v>
      </c>
      <c r="G99" s="71" t="s">
        <v>449</v>
      </c>
      <c r="H99" s="6" t="s">
        <v>450</v>
      </c>
      <c r="I99" s="6"/>
      <c r="J99" s="7" t="s">
        <v>451</v>
      </c>
      <c r="K99" s="8"/>
      <c r="L99" s="3"/>
      <c r="M99" s="3"/>
      <c r="N99" s="3"/>
    </row>
    <row r="100" spans="1:14" ht="16.5">
      <c r="A100" s="18">
        <v>98</v>
      </c>
      <c r="B100" s="19" t="s">
        <v>452</v>
      </c>
      <c r="C100" s="19"/>
      <c r="D100" s="2" t="s">
        <v>85</v>
      </c>
      <c r="E100" s="2" t="s">
        <v>453</v>
      </c>
      <c r="F100" s="2">
        <f>EDU*2+MAX(STR*2,DEX*2)</f>
        <v>0</v>
      </c>
      <c r="G100" s="20" t="s">
        <v>454</v>
      </c>
      <c r="H100" s="6" t="s">
        <v>455</v>
      </c>
      <c r="I100" s="6"/>
      <c r="J100" s="7" t="s">
        <v>456</v>
      </c>
      <c r="K100" s="8"/>
      <c r="L100" s="3"/>
      <c r="M100" s="3"/>
      <c r="N100" s="3"/>
    </row>
    <row r="101" spans="1:14" ht="16.5">
      <c r="A101" s="67">
        <v>99</v>
      </c>
      <c r="B101" s="68" t="s">
        <v>457</v>
      </c>
      <c r="C101" s="68"/>
      <c r="D101" s="69" t="s">
        <v>100</v>
      </c>
      <c r="E101" s="70" t="s">
        <v>453</v>
      </c>
      <c r="F101" s="70">
        <f>EDU*2+MAX(STR*2,DEX*2)</f>
        <v>0</v>
      </c>
      <c r="G101" s="71" t="s">
        <v>458</v>
      </c>
      <c r="H101" s="6" t="s">
        <v>459</v>
      </c>
      <c r="I101" s="6"/>
      <c r="J101" s="7" t="s">
        <v>460</v>
      </c>
      <c r="K101" s="8"/>
      <c r="L101" s="3"/>
      <c r="M101" s="3"/>
      <c r="N101" s="3"/>
    </row>
    <row r="102" spans="1:14" ht="16.5">
      <c r="A102" s="18">
        <v>100</v>
      </c>
      <c r="B102" s="19" t="s">
        <v>461</v>
      </c>
      <c r="C102" s="19"/>
      <c r="D102" s="2" t="s">
        <v>24</v>
      </c>
      <c r="E102" s="2" t="s">
        <v>162</v>
      </c>
      <c r="F102" s="2">
        <f>EDU*2+APP*2</f>
        <v>0</v>
      </c>
      <c r="G102" s="20" t="s">
        <v>462</v>
      </c>
      <c r="H102" s="6" t="s">
        <v>463</v>
      </c>
      <c r="I102" s="6"/>
      <c r="J102" s="7" t="s">
        <v>464</v>
      </c>
      <c r="K102" s="8"/>
      <c r="L102" s="3"/>
      <c r="M102" s="3"/>
      <c r="N102" s="3"/>
    </row>
    <row r="103" spans="1:14" ht="16.5">
      <c r="A103" s="67">
        <v>101</v>
      </c>
      <c r="B103" s="68" t="s">
        <v>465</v>
      </c>
      <c r="C103" s="68"/>
      <c r="D103" s="69" t="s">
        <v>69</v>
      </c>
      <c r="E103" s="70" t="s">
        <v>41</v>
      </c>
      <c r="F103" s="70">
        <f>EDU*4</f>
        <v>0</v>
      </c>
      <c r="G103" s="71" t="s">
        <v>466</v>
      </c>
      <c r="H103" s="6" t="s">
        <v>467</v>
      </c>
      <c r="I103" s="6"/>
      <c r="J103" s="7" t="s">
        <v>468</v>
      </c>
      <c r="K103" s="8"/>
      <c r="L103" s="3"/>
      <c r="M103" s="3"/>
      <c r="N103" s="3"/>
    </row>
    <row r="104" spans="1:14" ht="16.5">
      <c r="A104" s="18">
        <v>102</v>
      </c>
      <c r="B104" s="19" t="s">
        <v>469</v>
      </c>
      <c r="C104" s="19"/>
      <c r="D104" s="2" t="s">
        <v>85</v>
      </c>
      <c r="E104" s="2" t="s">
        <v>470</v>
      </c>
      <c r="F104" s="2">
        <f>EDU*2+MAX(DEX*2,APP*2)</f>
        <v>0</v>
      </c>
      <c r="G104" s="20" t="s">
        <v>471</v>
      </c>
      <c r="H104" s="6" t="s">
        <v>472</v>
      </c>
      <c r="I104" s="6"/>
      <c r="J104" s="7" t="s">
        <v>473</v>
      </c>
      <c r="K104" s="8"/>
      <c r="L104" s="3"/>
      <c r="M104" s="3"/>
      <c r="N104" s="3"/>
    </row>
    <row r="105" spans="1:14" ht="16.5">
      <c r="A105" s="67">
        <v>103</v>
      </c>
      <c r="B105" s="68" t="s">
        <v>474</v>
      </c>
      <c r="C105" s="68"/>
      <c r="D105" s="69" t="s">
        <v>100</v>
      </c>
      <c r="E105" s="70" t="s">
        <v>285</v>
      </c>
      <c r="F105" s="70">
        <f>EDU*2+MAX(DEX*2,APP*2)</f>
        <v>0</v>
      </c>
      <c r="G105" s="71" t="s">
        <v>475</v>
      </c>
      <c r="H105" s="6" t="s">
        <v>476</v>
      </c>
      <c r="I105" s="6"/>
      <c r="J105" s="7" t="s">
        <v>477</v>
      </c>
      <c r="K105" s="8"/>
      <c r="L105" s="3"/>
      <c r="M105" s="3"/>
      <c r="N105" s="3"/>
    </row>
    <row r="106" spans="1:14" ht="16.5">
      <c r="A106" s="18">
        <v>104</v>
      </c>
      <c r="B106" s="19" t="s">
        <v>478</v>
      </c>
      <c r="C106" s="19"/>
      <c r="D106" s="2" t="s">
        <v>85</v>
      </c>
      <c r="E106" s="2" t="s">
        <v>35</v>
      </c>
      <c r="F106" s="2">
        <f>EDU*2+MAX(STR*2,DEX*2)</f>
        <v>0</v>
      </c>
      <c r="G106" s="20" t="s">
        <v>479</v>
      </c>
      <c r="H106" s="6" t="s">
        <v>455</v>
      </c>
      <c r="I106" s="6"/>
      <c r="J106" s="7" t="s">
        <v>480</v>
      </c>
      <c r="K106" s="8"/>
      <c r="L106" s="3"/>
      <c r="M106" s="3"/>
      <c r="N106" s="3"/>
    </row>
    <row r="107" spans="1:14" ht="16.5">
      <c r="A107" s="67">
        <v>105</v>
      </c>
      <c r="B107" s="68" t="s">
        <v>481</v>
      </c>
      <c r="C107" s="68"/>
      <c r="D107" s="69" t="s">
        <v>181</v>
      </c>
      <c r="E107" s="70" t="s">
        <v>186</v>
      </c>
      <c r="F107" s="70">
        <f>EDU*2+MAX(DEX*2,APP*2)</f>
        <v>0</v>
      </c>
      <c r="G107" s="71" t="s">
        <v>482</v>
      </c>
      <c r="H107" s="6" t="s">
        <v>483</v>
      </c>
      <c r="I107" s="6"/>
      <c r="J107" s="7" t="s">
        <v>484</v>
      </c>
      <c r="K107" s="8"/>
      <c r="L107" s="3"/>
      <c r="M107" s="3"/>
      <c r="N107" s="3"/>
    </row>
    <row r="108" spans="1:14" ht="16.5">
      <c r="A108" s="18">
        <v>106</v>
      </c>
      <c r="B108" s="19" t="s">
        <v>485</v>
      </c>
      <c r="C108" s="19"/>
      <c r="D108" s="2" t="s">
        <v>486</v>
      </c>
      <c r="E108" s="2" t="s">
        <v>41</v>
      </c>
      <c r="F108" s="2">
        <f>EDU*4</f>
        <v>0</v>
      </c>
      <c r="G108" s="20" t="s">
        <v>487</v>
      </c>
      <c r="H108" s="6" t="s">
        <v>488</v>
      </c>
      <c r="I108" s="6"/>
      <c r="J108" s="7" t="s">
        <v>489</v>
      </c>
      <c r="K108" s="8"/>
      <c r="L108" s="3"/>
      <c r="M108" s="3"/>
      <c r="N108" s="3"/>
    </row>
    <row r="109" spans="1:14" ht="16.5">
      <c r="A109" s="67">
        <v>107</v>
      </c>
      <c r="B109" s="68" t="s">
        <v>490</v>
      </c>
      <c r="C109" s="68"/>
      <c r="D109" s="69" t="s">
        <v>491</v>
      </c>
      <c r="E109" s="70" t="s">
        <v>35</v>
      </c>
      <c r="F109" s="70">
        <f>EDU*2+MAX(STR*2,DEX*2)</f>
        <v>0</v>
      </c>
      <c r="G109" s="71" t="s">
        <v>492</v>
      </c>
      <c r="H109" s="6" t="s">
        <v>493</v>
      </c>
      <c r="I109" s="6"/>
      <c r="J109" s="7" t="s">
        <v>494</v>
      </c>
      <c r="K109" s="8"/>
      <c r="L109" s="3"/>
      <c r="M109" s="3"/>
      <c r="N109" s="3"/>
    </row>
    <row r="110" spans="1:14" ht="16.5">
      <c r="A110" s="18">
        <v>108</v>
      </c>
      <c r="B110" s="19" t="s">
        <v>495</v>
      </c>
      <c r="C110" s="19"/>
      <c r="D110" s="2" t="s">
        <v>496</v>
      </c>
      <c r="E110" s="2" t="s">
        <v>35</v>
      </c>
      <c r="F110" s="2">
        <f>EDU*2+MAX(STR*2,DEX*2)</f>
        <v>0</v>
      </c>
      <c r="G110" s="20" t="s">
        <v>497</v>
      </c>
      <c r="H110" s="6" t="s">
        <v>498</v>
      </c>
      <c r="I110" s="6"/>
      <c r="J110" s="7" t="s">
        <v>499</v>
      </c>
      <c r="K110" s="8"/>
      <c r="L110" s="3"/>
      <c r="M110" s="3"/>
      <c r="N110" s="3"/>
    </row>
    <row r="111" spans="1:14" ht="16.5">
      <c r="A111" s="67">
        <v>109</v>
      </c>
      <c r="B111" s="68" t="s">
        <v>500</v>
      </c>
      <c r="C111" s="68"/>
      <c r="D111" s="69" t="s">
        <v>100</v>
      </c>
      <c r="E111" s="70" t="s">
        <v>41</v>
      </c>
      <c r="F111" s="70">
        <f>EDU*4</f>
        <v>0</v>
      </c>
      <c r="G111" s="71" t="s">
        <v>501</v>
      </c>
      <c r="H111" s="6" t="s">
        <v>502</v>
      </c>
      <c r="I111" s="6"/>
      <c r="J111" s="7" t="s">
        <v>503</v>
      </c>
      <c r="K111" s="8"/>
      <c r="L111" s="3"/>
      <c r="M111" s="3"/>
      <c r="N111" s="3"/>
    </row>
    <row r="112" spans="1:14" ht="16.5">
      <c r="A112" s="18">
        <v>110</v>
      </c>
      <c r="B112" s="19" t="s">
        <v>504</v>
      </c>
      <c r="C112" s="19"/>
      <c r="D112" s="2" t="s">
        <v>436</v>
      </c>
      <c r="E112" s="2" t="s">
        <v>41</v>
      </c>
      <c r="F112" s="2">
        <f>EDU*4</f>
        <v>0</v>
      </c>
      <c r="G112" s="20" t="s">
        <v>505</v>
      </c>
      <c r="H112" s="6" t="s">
        <v>506</v>
      </c>
      <c r="I112" s="6"/>
      <c r="J112" s="7" t="s">
        <v>507</v>
      </c>
      <c r="K112" s="8"/>
      <c r="L112" s="3"/>
      <c r="M112" s="3"/>
      <c r="N112" s="3"/>
    </row>
    <row r="113" spans="1:14" ht="16.5">
      <c r="A113" s="67">
        <v>111</v>
      </c>
      <c r="B113" s="68" t="s">
        <v>508</v>
      </c>
      <c r="C113" s="68"/>
      <c r="D113" s="69" t="s">
        <v>18</v>
      </c>
      <c r="E113" s="70" t="s">
        <v>303</v>
      </c>
      <c r="F113" s="70">
        <f>EDU*2+MAX(DEX*2,APP*2)</f>
        <v>0</v>
      </c>
      <c r="G113" s="71" t="s">
        <v>509</v>
      </c>
      <c r="H113" s="6" t="s">
        <v>510</v>
      </c>
      <c r="I113" s="6"/>
      <c r="J113" s="7" t="s">
        <v>511</v>
      </c>
      <c r="K113" s="8"/>
      <c r="L113" s="3"/>
      <c r="M113" s="3"/>
      <c r="N113" s="3"/>
    </row>
    <row r="114" spans="1:14" ht="16.5">
      <c r="A114" s="18">
        <v>112</v>
      </c>
      <c r="B114" s="19" t="s">
        <v>512</v>
      </c>
      <c r="C114" s="19"/>
      <c r="D114" s="2" t="s">
        <v>18</v>
      </c>
      <c r="E114" s="2" t="s">
        <v>41</v>
      </c>
      <c r="F114" s="2">
        <f>EDU*4</f>
        <v>0</v>
      </c>
      <c r="G114" s="20" t="s">
        <v>513</v>
      </c>
      <c r="H114" s="6" t="s">
        <v>514</v>
      </c>
      <c r="I114" s="6"/>
      <c r="J114" s="7" t="s">
        <v>515</v>
      </c>
      <c r="K114" s="8"/>
      <c r="L114" s="3"/>
      <c r="M114" s="3"/>
      <c r="N114" s="3"/>
    </row>
    <row r="115" spans="1:14" ht="16.5">
      <c r="A115" s="67">
        <v>113</v>
      </c>
      <c r="B115" s="68" t="s">
        <v>516</v>
      </c>
      <c r="C115" s="68"/>
      <c r="D115" s="69" t="s">
        <v>517</v>
      </c>
      <c r="E115" s="70" t="s">
        <v>41</v>
      </c>
      <c r="F115" s="70">
        <f>EDU*4</f>
        <v>0</v>
      </c>
      <c r="G115" s="71" t="s">
        <v>518</v>
      </c>
      <c r="H115" s="6" t="s">
        <v>519</v>
      </c>
      <c r="I115" s="6"/>
      <c r="J115" s="7" t="s">
        <v>520</v>
      </c>
      <c r="K115" s="8"/>
      <c r="L115" s="3"/>
      <c r="M115" s="3"/>
      <c r="N115" s="3"/>
    </row>
    <row r="116" spans="1:14" ht="16.5">
      <c r="A116" s="18">
        <v>114</v>
      </c>
      <c r="B116" s="19" t="s">
        <v>521</v>
      </c>
      <c r="C116" s="19"/>
      <c r="D116" s="2" t="s">
        <v>359</v>
      </c>
      <c r="E116" s="2" t="s">
        <v>47</v>
      </c>
      <c r="F116" s="2">
        <f>EDU*2+MAX(APP*2,POW*2)</f>
        <v>0</v>
      </c>
      <c r="G116" s="20" t="s">
        <v>522</v>
      </c>
      <c r="H116" s="6" t="s">
        <v>523</v>
      </c>
      <c r="I116" s="6"/>
      <c r="J116" s="7" t="s">
        <v>524</v>
      </c>
      <c r="K116" s="8"/>
      <c r="L116" s="3"/>
      <c r="M116" s="3"/>
      <c r="N116" s="3"/>
    </row>
    <row r="117" spans="1:14" ht="17.25" thickBot="1">
      <c r="A117" s="74">
        <v>115</v>
      </c>
      <c r="B117" s="75" t="s">
        <v>525</v>
      </c>
      <c r="C117" s="75"/>
      <c r="D117" s="76" t="s">
        <v>24</v>
      </c>
      <c r="E117" s="77" t="s">
        <v>41</v>
      </c>
      <c r="F117" s="77">
        <f>EDU*4</f>
        <v>0</v>
      </c>
      <c r="G117" s="78" t="s">
        <v>526</v>
      </c>
      <c r="H117" s="6" t="s">
        <v>527</v>
      </c>
      <c r="I117" s="6"/>
      <c r="J117" s="7" t="s">
        <v>528</v>
      </c>
      <c r="K117" s="8"/>
      <c r="L117" s="3"/>
      <c r="M117" s="3"/>
      <c r="N117" s="3"/>
    </row>
    <row r="118" spans="1:14" ht="16.5">
      <c r="A118" s="9">
        <v>116</v>
      </c>
      <c r="B118" s="10" t="s">
        <v>529</v>
      </c>
      <c r="C118" s="10"/>
      <c r="D118" s="11" t="s">
        <v>245</v>
      </c>
      <c r="E118" s="11" t="s">
        <v>162</v>
      </c>
      <c r="F118" s="11">
        <f>EDU*2+APP*2</f>
        <v>0</v>
      </c>
      <c r="G118" s="12" t="s">
        <v>530</v>
      </c>
      <c r="H118" s="13" t="s">
        <v>531</v>
      </c>
      <c r="I118" s="3"/>
      <c r="J118" s="13" t="s">
        <v>532</v>
      </c>
      <c r="K118" s="3"/>
      <c r="L118" s="3"/>
      <c r="M118" s="3"/>
      <c r="N118" s="3"/>
    </row>
    <row r="119" spans="1:14" ht="16.5">
      <c r="A119" s="14">
        <v>117</v>
      </c>
      <c r="B119" s="15" t="s">
        <v>533</v>
      </c>
      <c r="C119" s="15"/>
      <c r="D119" s="16" t="s">
        <v>18</v>
      </c>
      <c r="E119" s="17" t="s">
        <v>35</v>
      </c>
      <c r="F119" s="17">
        <f>EDU*2+MAX(STR*2,DEX*2)</f>
        <v>0</v>
      </c>
      <c r="G119" s="79" t="s">
        <v>534</v>
      </c>
      <c r="H119" s="13" t="s">
        <v>82</v>
      </c>
      <c r="I119" s="3"/>
      <c r="J119" s="13" t="s">
        <v>532</v>
      </c>
      <c r="K119" s="3"/>
      <c r="L119" s="3"/>
      <c r="M119" s="3"/>
      <c r="N119" s="3"/>
    </row>
    <row r="120" spans="1:14" ht="16.5">
      <c r="A120" s="18">
        <v>118</v>
      </c>
      <c r="B120" s="19" t="s">
        <v>535</v>
      </c>
      <c r="C120" s="19"/>
      <c r="D120" s="2" t="s">
        <v>536</v>
      </c>
      <c r="E120" s="2" t="s">
        <v>35</v>
      </c>
      <c r="F120" s="2">
        <f>EDU*2+MAX(STR*2,DEX*2)</f>
        <v>0</v>
      </c>
      <c r="G120" s="20" t="s">
        <v>537</v>
      </c>
      <c r="H120" s="13" t="s">
        <v>538</v>
      </c>
      <c r="I120" s="3"/>
      <c r="J120" s="13" t="s">
        <v>539</v>
      </c>
      <c r="K120" s="3"/>
      <c r="L120" s="3"/>
      <c r="M120" s="3"/>
      <c r="N120" s="3"/>
    </row>
    <row r="121" spans="1:14" ht="16.5">
      <c r="A121" s="14">
        <v>119</v>
      </c>
      <c r="B121" s="15" t="s">
        <v>540</v>
      </c>
      <c r="C121" s="15"/>
      <c r="D121" s="16" t="s">
        <v>12</v>
      </c>
      <c r="E121" s="17" t="s">
        <v>35</v>
      </c>
      <c r="F121" s="17">
        <f>EDU*2+MAX(STR*2,DEX*2)</f>
        <v>0</v>
      </c>
      <c r="G121" s="79" t="s">
        <v>541</v>
      </c>
      <c r="H121" s="13" t="s">
        <v>542</v>
      </c>
      <c r="I121" s="3"/>
      <c r="J121" s="13" t="s">
        <v>532</v>
      </c>
      <c r="K121" s="3"/>
      <c r="L121" s="3"/>
      <c r="M121" s="3"/>
      <c r="N121" s="3"/>
    </row>
    <row r="122" spans="1:14" ht="16.5">
      <c r="A122" s="18">
        <v>120</v>
      </c>
      <c r="B122" s="19" t="s">
        <v>543</v>
      </c>
      <c r="C122" s="19"/>
      <c r="D122" s="2" t="s">
        <v>18</v>
      </c>
      <c r="E122" s="2" t="s">
        <v>35</v>
      </c>
      <c r="F122" s="2">
        <f>EDU*2+MAX(STR*2,DEX*2)</f>
        <v>0</v>
      </c>
      <c r="G122" s="20" t="s">
        <v>544</v>
      </c>
      <c r="H122" s="13" t="s">
        <v>545</v>
      </c>
      <c r="I122" s="3"/>
      <c r="J122" s="13" t="s">
        <v>539</v>
      </c>
      <c r="K122" s="3"/>
      <c r="L122" s="3"/>
      <c r="M122" s="3"/>
      <c r="N122" s="3"/>
    </row>
    <row r="123" spans="1:14" ht="16.5">
      <c r="A123" s="14">
        <v>121</v>
      </c>
      <c r="B123" s="15" t="s">
        <v>546</v>
      </c>
      <c r="C123" s="15"/>
      <c r="D123" s="16" t="s">
        <v>322</v>
      </c>
      <c r="E123" s="17" t="s">
        <v>41</v>
      </c>
      <c r="F123" s="17">
        <f t="shared" ref="F123:F128" si="0">EDU*4</f>
        <v>0</v>
      </c>
      <c r="G123" s="79" t="s">
        <v>547</v>
      </c>
      <c r="H123" s="13" t="s">
        <v>548</v>
      </c>
      <c r="I123" s="3"/>
      <c r="J123" s="13" t="s">
        <v>539</v>
      </c>
      <c r="K123" s="3"/>
      <c r="L123" s="3"/>
      <c r="M123" s="3"/>
      <c r="N123" s="3"/>
    </row>
    <row r="124" spans="1:14" ht="16.5">
      <c r="A124" s="18">
        <v>122</v>
      </c>
      <c r="B124" s="19" t="s">
        <v>549</v>
      </c>
      <c r="C124" s="19"/>
      <c r="D124" s="2" t="s">
        <v>322</v>
      </c>
      <c r="E124" s="2" t="s">
        <v>41</v>
      </c>
      <c r="F124" s="2">
        <f t="shared" si="0"/>
        <v>0</v>
      </c>
      <c r="G124" s="20" t="s">
        <v>550</v>
      </c>
      <c r="H124" s="13" t="s">
        <v>551</v>
      </c>
      <c r="I124" s="3"/>
      <c r="J124" s="13" t="s">
        <v>539</v>
      </c>
      <c r="K124" s="3"/>
      <c r="L124" s="3"/>
      <c r="M124" s="3"/>
      <c r="N124" s="3"/>
    </row>
    <row r="125" spans="1:14" ht="16.5">
      <c r="A125" s="14">
        <v>123</v>
      </c>
      <c r="B125" s="15" t="s">
        <v>552</v>
      </c>
      <c r="C125" s="15"/>
      <c r="D125" s="16" t="s">
        <v>354</v>
      </c>
      <c r="E125" s="17" t="s">
        <v>41</v>
      </c>
      <c r="F125" s="17">
        <f t="shared" si="0"/>
        <v>0</v>
      </c>
      <c r="G125" s="79" t="s">
        <v>553</v>
      </c>
      <c r="H125" s="13" t="s">
        <v>118</v>
      </c>
      <c r="I125" s="3"/>
      <c r="J125" s="13" t="s">
        <v>539</v>
      </c>
      <c r="K125" s="3"/>
      <c r="L125" s="3"/>
      <c r="M125" s="3"/>
      <c r="N125" s="3"/>
    </row>
    <row r="126" spans="1:14" ht="16.5">
      <c r="A126" s="18">
        <v>124</v>
      </c>
      <c r="B126" s="19" t="s">
        <v>554</v>
      </c>
      <c r="C126" s="19"/>
      <c r="D126" s="2" t="s">
        <v>109</v>
      </c>
      <c r="E126" s="2" t="s">
        <v>41</v>
      </c>
      <c r="F126" s="2">
        <f t="shared" si="0"/>
        <v>0</v>
      </c>
      <c r="G126" s="20" t="s">
        <v>117</v>
      </c>
      <c r="H126" s="13" t="s">
        <v>118</v>
      </c>
      <c r="I126" s="3"/>
      <c r="J126" s="13" t="s">
        <v>539</v>
      </c>
      <c r="K126" s="3"/>
      <c r="L126" s="3"/>
      <c r="M126" s="3"/>
      <c r="N126" s="3"/>
    </row>
    <row r="127" spans="1:14" ht="16.5">
      <c r="A127" s="14">
        <v>125</v>
      </c>
      <c r="B127" s="15" t="s">
        <v>555</v>
      </c>
      <c r="C127" s="15"/>
      <c r="D127" s="16" t="s">
        <v>109</v>
      </c>
      <c r="E127" s="17" t="s">
        <v>41</v>
      </c>
      <c r="F127" s="17">
        <f t="shared" si="0"/>
        <v>0</v>
      </c>
      <c r="G127" s="79" t="s">
        <v>556</v>
      </c>
      <c r="H127" s="13" t="s">
        <v>557</v>
      </c>
      <c r="I127" s="3"/>
      <c r="J127" s="13" t="s">
        <v>539</v>
      </c>
      <c r="K127" s="3"/>
      <c r="L127" s="3"/>
      <c r="M127" s="3"/>
      <c r="N127" s="3"/>
    </row>
    <row r="128" spans="1:14" ht="16.5">
      <c r="A128" s="18">
        <v>126</v>
      </c>
      <c r="B128" s="19" t="s">
        <v>558</v>
      </c>
      <c r="C128" s="19"/>
      <c r="D128" s="2" t="s">
        <v>12</v>
      </c>
      <c r="E128" s="2" t="s">
        <v>41</v>
      </c>
      <c r="F128" s="2">
        <f t="shared" si="0"/>
        <v>0</v>
      </c>
      <c r="G128" s="20" t="s">
        <v>559</v>
      </c>
      <c r="H128" s="13" t="s">
        <v>560</v>
      </c>
      <c r="I128" s="3"/>
      <c r="J128" s="13" t="s">
        <v>539</v>
      </c>
      <c r="K128" s="3"/>
      <c r="L128" s="3"/>
      <c r="M128" s="3"/>
      <c r="N128" s="3"/>
    </row>
    <row r="129" spans="1:14" ht="16.5">
      <c r="A129" s="14">
        <v>127</v>
      </c>
      <c r="B129" s="15" t="s">
        <v>561</v>
      </c>
      <c r="C129" s="15"/>
      <c r="D129" s="16" t="s">
        <v>359</v>
      </c>
      <c r="E129" s="17" t="s">
        <v>47</v>
      </c>
      <c r="F129" s="17">
        <f>EDU*2+MAX(APP*2,POW*2)</f>
        <v>0</v>
      </c>
      <c r="G129" s="79" t="s">
        <v>562</v>
      </c>
      <c r="H129" s="13" t="s">
        <v>563</v>
      </c>
      <c r="I129" s="3"/>
      <c r="J129" s="13" t="s">
        <v>539</v>
      </c>
      <c r="K129" s="3"/>
      <c r="L129" s="3"/>
      <c r="M129" s="3"/>
      <c r="N129" s="3"/>
    </row>
    <row r="130" spans="1:14" ht="16.5">
      <c r="A130" s="18">
        <v>128</v>
      </c>
      <c r="B130" s="19" t="s">
        <v>564</v>
      </c>
      <c r="C130" s="19"/>
      <c r="D130" s="2" t="s">
        <v>181</v>
      </c>
      <c r="E130" s="2" t="s">
        <v>41</v>
      </c>
      <c r="F130" s="2">
        <f>EDU*4</f>
        <v>0</v>
      </c>
      <c r="G130" s="20" t="s">
        <v>565</v>
      </c>
      <c r="H130" s="13" t="s">
        <v>566</v>
      </c>
      <c r="I130" s="3"/>
      <c r="J130" s="13" t="s">
        <v>539</v>
      </c>
      <c r="K130" s="3"/>
      <c r="L130" s="3"/>
      <c r="M130" s="3"/>
      <c r="N130" s="3"/>
    </row>
    <row r="131" spans="1:14" ht="16.5">
      <c r="A131" s="14">
        <v>129</v>
      </c>
      <c r="B131" s="15" t="s">
        <v>567</v>
      </c>
      <c r="C131" s="15"/>
      <c r="D131" s="16" t="s">
        <v>322</v>
      </c>
      <c r="E131" s="17" t="s">
        <v>470</v>
      </c>
      <c r="F131" s="17">
        <f>EDU*2+MAX(DEX*2,APP*2)</f>
        <v>0</v>
      </c>
      <c r="G131" s="79" t="s">
        <v>568</v>
      </c>
      <c r="H131" s="13" t="s">
        <v>569</v>
      </c>
      <c r="I131" s="3"/>
      <c r="J131" s="13" t="s">
        <v>539</v>
      </c>
      <c r="K131" s="3"/>
      <c r="L131" s="3"/>
      <c r="M131" s="3"/>
      <c r="N131" s="3"/>
    </row>
    <row r="132" spans="1:14" ht="16.5">
      <c r="A132" s="18">
        <v>130</v>
      </c>
      <c r="B132" s="19" t="s">
        <v>570</v>
      </c>
      <c r="C132" s="19"/>
      <c r="D132" s="2" t="s">
        <v>322</v>
      </c>
      <c r="E132" s="2" t="s">
        <v>470</v>
      </c>
      <c r="F132" s="2">
        <f>EDU*2+MAX(DEX*2,APP*2)</f>
        <v>0</v>
      </c>
      <c r="G132" s="20" t="s">
        <v>571</v>
      </c>
      <c r="H132" s="13" t="s">
        <v>572</v>
      </c>
      <c r="I132" s="3"/>
      <c r="J132" s="13" t="s">
        <v>539</v>
      </c>
      <c r="K132" s="3"/>
      <c r="L132" s="3"/>
      <c r="M132" s="3"/>
      <c r="N132" s="3"/>
    </row>
    <row r="133" spans="1:14" ht="16.5">
      <c r="A133" s="14">
        <v>131</v>
      </c>
      <c r="B133" s="15" t="s">
        <v>573</v>
      </c>
      <c r="C133" s="15"/>
      <c r="D133" s="16" t="s">
        <v>85</v>
      </c>
      <c r="E133" s="17" t="s">
        <v>134</v>
      </c>
      <c r="F133" s="17">
        <f>EDU*2+DEX*2</f>
        <v>0</v>
      </c>
      <c r="G133" s="79" t="s">
        <v>574</v>
      </c>
      <c r="H133" s="13" t="s">
        <v>575</v>
      </c>
      <c r="I133" s="3"/>
      <c r="J133" s="13" t="s">
        <v>539</v>
      </c>
      <c r="K133" s="3"/>
      <c r="L133" s="3"/>
      <c r="M133" s="3"/>
      <c r="N133" s="3"/>
    </row>
    <row r="134" spans="1:14" ht="16.5">
      <c r="A134" s="18">
        <v>132</v>
      </c>
      <c r="B134" s="19" t="s">
        <v>576</v>
      </c>
      <c r="C134" s="19"/>
      <c r="D134" s="2" t="s">
        <v>12</v>
      </c>
      <c r="E134" s="2" t="s">
        <v>13</v>
      </c>
      <c r="F134" s="2">
        <f>EDU*4</f>
        <v>0</v>
      </c>
      <c r="G134" s="20" t="s">
        <v>577</v>
      </c>
      <c r="H134" s="13" t="s">
        <v>578</v>
      </c>
      <c r="I134" s="3"/>
      <c r="J134" s="13" t="s">
        <v>539</v>
      </c>
      <c r="K134" s="3"/>
      <c r="L134" s="3"/>
      <c r="M134" s="3"/>
      <c r="N134" s="3"/>
    </row>
    <row r="135" spans="1:14" ht="16.5">
      <c r="A135" s="14">
        <v>133</v>
      </c>
      <c r="B135" s="15" t="s">
        <v>579</v>
      </c>
      <c r="C135" s="15"/>
      <c r="D135" s="16" t="s">
        <v>217</v>
      </c>
      <c r="E135" s="17" t="s">
        <v>41</v>
      </c>
      <c r="F135" s="17">
        <f>EDU*4</f>
        <v>0</v>
      </c>
      <c r="G135" s="79" t="s">
        <v>341</v>
      </c>
      <c r="H135" s="13" t="s">
        <v>578</v>
      </c>
      <c r="I135" s="3"/>
      <c r="J135" s="13" t="s">
        <v>539</v>
      </c>
      <c r="K135" s="3"/>
      <c r="L135" s="3"/>
      <c r="M135" s="3"/>
      <c r="N135" s="3"/>
    </row>
    <row r="136" spans="1:14" ht="16.5">
      <c r="A136" s="18">
        <v>134</v>
      </c>
      <c r="B136" s="19" t="s">
        <v>580</v>
      </c>
      <c r="C136" s="19"/>
      <c r="D136" s="2" t="s">
        <v>12</v>
      </c>
      <c r="E136" s="2" t="s">
        <v>41</v>
      </c>
      <c r="F136" s="2">
        <f>EDU*4</f>
        <v>0</v>
      </c>
      <c r="G136" s="20" t="s">
        <v>218</v>
      </c>
      <c r="H136" s="13" t="s">
        <v>219</v>
      </c>
      <c r="I136" s="3"/>
      <c r="J136" s="13" t="s">
        <v>539</v>
      </c>
      <c r="K136" s="3"/>
      <c r="L136" s="3"/>
      <c r="M136" s="3"/>
      <c r="N136" s="3"/>
    </row>
    <row r="137" spans="1:14" ht="16.5">
      <c r="A137" s="14">
        <v>135</v>
      </c>
      <c r="B137" s="15" t="s">
        <v>581</v>
      </c>
      <c r="C137" s="15"/>
      <c r="D137" s="16" t="s">
        <v>322</v>
      </c>
      <c r="E137" s="17" t="s">
        <v>41</v>
      </c>
      <c r="F137" s="17">
        <f>EDU*4</f>
        <v>0</v>
      </c>
      <c r="G137" s="79" t="s">
        <v>218</v>
      </c>
      <c r="H137" s="13" t="s">
        <v>219</v>
      </c>
      <c r="I137" s="3"/>
      <c r="J137" s="13" t="s">
        <v>539</v>
      </c>
      <c r="K137" s="3"/>
      <c r="L137" s="3"/>
      <c r="M137" s="3"/>
      <c r="N137" s="3"/>
    </row>
    <row r="138" spans="1:14" ht="16.5">
      <c r="A138" s="18">
        <v>136</v>
      </c>
      <c r="B138" s="19" t="s">
        <v>582</v>
      </c>
      <c r="C138" s="19"/>
      <c r="D138" s="2" t="s">
        <v>217</v>
      </c>
      <c r="E138" s="2" t="s">
        <v>41</v>
      </c>
      <c r="F138" s="2">
        <f>EDU*4</f>
        <v>0</v>
      </c>
      <c r="G138" s="20" t="s">
        <v>218</v>
      </c>
      <c r="H138" s="13" t="s">
        <v>583</v>
      </c>
      <c r="I138" s="3"/>
      <c r="J138" s="13" t="s">
        <v>539</v>
      </c>
      <c r="K138" s="3"/>
      <c r="L138" s="3"/>
      <c r="M138" s="3"/>
      <c r="N138" s="3"/>
    </row>
    <row r="139" spans="1:14" ht="16.5">
      <c r="A139" s="14">
        <v>137</v>
      </c>
      <c r="B139" s="15" t="s">
        <v>584</v>
      </c>
      <c r="C139" s="15"/>
      <c r="D139" s="16" t="s">
        <v>56</v>
      </c>
      <c r="E139" s="17" t="s">
        <v>157</v>
      </c>
      <c r="F139" s="17">
        <f>EDU*2+DEX*2</f>
        <v>0</v>
      </c>
      <c r="G139" s="79" t="s">
        <v>585</v>
      </c>
      <c r="H139" s="13" t="s">
        <v>586</v>
      </c>
      <c r="I139" s="3"/>
      <c r="J139" s="13" t="s">
        <v>539</v>
      </c>
      <c r="K139" s="3"/>
      <c r="L139" s="3"/>
      <c r="M139" s="3"/>
      <c r="N139" s="3"/>
    </row>
    <row r="140" spans="1:14" ht="16.5">
      <c r="A140" s="18">
        <v>138</v>
      </c>
      <c r="B140" s="19" t="s">
        <v>587</v>
      </c>
      <c r="C140" s="19"/>
      <c r="D140" s="2" t="s">
        <v>85</v>
      </c>
      <c r="E140" s="2" t="s">
        <v>41</v>
      </c>
      <c r="F140" s="2">
        <f>EDU*4</f>
        <v>0</v>
      </c>
      <c r="G140" s="20" t="s">
        <v>588</v>
      </c>
      <c r="H140" s="13" t="s">
        <v>589</v>
      </c>
      <c r="I140" s="3"/>
      <c r="J140" s="13" t="s">
        <v>539</v>
      </c>
      <c r="K140" s="3"/>
      <c r="L140" s="3"/>
      <c r="M140" s="3"/>
      <c r="N140" s="3"/>
    </row>
    <row r="141" spans="1:14" ht="16.5">
      <c r="A141" s="14">
        <v>139</v>
      </c>
      <c r="B141" s="15" t="s">
        <v>590</v>
      </c>
      <c r="C141" s="15"/>
      <c r="D141" s="16" t="s">
        <v>85</v>
      </c>
      <c r="E141" s="17" t="s">
        <v>372</v>
      </c>
      <c r="F141" s="17">
        <f>EDU*2+MAX(DEX*2,POW*2)</f>
        <v>0</v>
      </c>
      <c r="G141" s="79" t="s">
        <v>591</v>
      </c>
      <c r="H141" s="13" t="s">
        <v>592</v>
      </c>
      <c r="I141" s="3"/>
      <c r="J141" s="13" t="s">
        <v>539</v>
      </c>
      <c r="K141" s="3"/>
      <c r="L141" s="3"/>
      <c r="M141" s="3"/>
      <c r="N141" s="3"/>
    </row>
    <row r="142" spans="1:14" ht="16.5">
      <c r="A142" s="18">
        <v>140</v>
      </c>
      <c r="B142" s="19" t="s">
        <v>593</v>
      </c>
      <c r="C142" s="19"/>
      <c r="D142" s="2" t="s">
        <v>56</v>
      </c>
      <c r="E142" s="2" t="s">
        <v>41</v>
      </c>
      <c r="F142" s="2">
        <f>EDU*4</f>
        <v>0</v>
      </c>
      <c r="G142" s="20" t="s">
        <v>594</v>
      </c>
      <c r="H142" s="13" t="s">
        <v>595</v>
      </c>
      <c r="I142" s="3"/>
      <c r="J142" s="13" t="s">
        <v>539</v>
      </c>
      <c r="K142" s="3"/>
      <c r="L142" s="3"/>
      <c r="M142" s="3"/>
      <c r="N142" s="3"/>
    </row>
    <row r="143" spans="1:14" ht="16.5">
      <c r="A143" s="14">
        <v>141</v>
      </c>
      <c r="B143" s="15" t="s">
        <v>596</v>
      </c>
      <c r="C143" s="15"/>
      <c r="D143" s="16" t="s">
        <v>354</v>
      </c>
      <c r="E143" s="17" t="s">
        <v>35</v>
      </c>
      <c r="F143" s="17">
        <f>EDU*2+MAX(STR*2,DEX*2)</f>
        <v>0</v>
      </c>
      <c r="G143" s="79" t="s">
        <v>597</v>
      </c>
      <c r="H143" s="13" t="s">
        <v>598</v>
      </c>
      <c r="I143" s="3"/>
      <c r="J143" s="13" t="s">
        <v>539</v>
      </c>
      <c r="K143" s="3"/>
      <c r="L143" s="3"/>
      <c r="M143" s="3"/>
      <c r="N143" s="3"/>
    </row>
    <row r="144" spans="1:14" ht="16.5">
      <c r="A144" s="18">
        <v>142</v>
      </c>
      <c r="B144" s="19" t="s">
        <v>599</v>
      </c>
      <c r="C144" s="19"/>
      <c r="D144" s="2" t="s">
        <v>600</v>
      </c>
      <c r="E144" s="2" t="s">
        <v>35</v>
      </c>
      <c r="F144" s="2">
        <f>EDU*2+MAX(STR*2,DEX*2)</f>
        <v>0</v>
      </c>
      <c r="G144" s="20" t="s">
        <v>601</v>
      </c>
      <c r="H144" s="13" t="s">
        <v>602</v>
      </c>
      <c r="I144" s="3"/>
      <c r="J144" s="13" t="s">
        <v>539</v>
      </c>
      <c r="K144" s="3"/>
      <c r="L144" s="3"/>
      <c r="M144" s="3"/>
      <c r="N144" s="3"/>
    </row>
    <row r="145" spans="1:14" ht="16.5">
      <c r="A145" s="14">
        <v>143</v>
      </c>
      <c r="B145" s="15" t="s">
        <v>603</v>
      </c>
      <c r="C145" s="15"/>
      <c r="D145" s="16" t="s">
        <v>85</v>
      </c>
      <c r="E145" s="17" t="s">
        <v>372</v>
      </c>
      <c r="F145" s="17">
        <f>EDU*2+MAX(POW*2,DEX*2)</f>
        <v>0</v>
      </c>
      <c r="G145" s="79" t="s">
        <v>604</v>
      </c>
      <c r="H145" s="13" t="s">
        <v>605</v>
      </c>
      <c r="I145" s="3"/>
      <c r="J145" s="13" t="s">
        <v>539</v>
      </c>
      <c r="K145" s="3"/>
      <c r="L145" s="3"/>
      <c r="M145" s="3"/>
      <c r="N145" s="3"/>
    </row>
    <row r="146" spans="1:14" ht="16.5">
      <c r="A146" s="18">
        <v>144</v>
      </c>
      <c r="B146" s="19" t="s">
        <v>606</v>
      </c>
      <c r="C146" s="19"/>
      <c r="D146" s="2" t="s">
        <v>12</v>
      </c>
      <c r="E146" s="2" t="s">
        <v>157</v>
      </c>
      <c r="F146" s="2">
        <f>EDU*2+DEX*2</f>
        <v>0</v>
      </c>
      <c r="G146" s="20" t="s">
        <v>607</v>
      </c>
      <c r="H146" s="13" t="s">
        <v>608</v>
      </c>
      <c r="I146" s="3"/>
      <c r="J146" s="13" t="s">
        <v>539</v>
      </c>
      <c r="K146" s="3"/>
      <c r="L146" s="3"/>
      <c r="M146" s="3"/>
      <c r="N146" s="3"/>
    </row>
    <row r="147" spans="1:14" ht="16.5">
      <c r="A147" s="14">
        <v>145</v>
      </c>
      <c r="B147" s="15" t="s">
        <v>609</v>
      </c>
      <c r="C147" s="15"/>
      <c r="D147" s="16" t="s">
        <v>322</v>
      </c>
      <c r="E147" s="17" t="s">
        <v>41</v>
      </c>
      <c r="F147" s="17">
        <f>EDU*4</f>
        <v>0</v>
      </c>
      <c r="G147" s="79" t="s">
        <v>610</v>
      </c>
      <c r="H147" s="13" t="s">
        <v>611</v>
      </c>
      <c r="I147" s="3"/>
      <c r="J147" s="13" t="s">
        <v>539</v>
      </c>
      <c r="K147" s="3"/>
      <c r="L147" s="3"/>
      <c r="M147" s="3"/>
      <c r="N147" s="3"/>
    </row>
    <row r="148" spans="1:14" ht="16.5">
      <c r="A148" s="18">
        <v>146</v>
      </c>
      <c r="B148" s="19" t="s">
        <v>612</v>
      </c>
      <c r="C148" s="19"/>
      <c r="D148" s="2" t="s">
        <v>24</v>
      </c>
      <c r="E148" s="2" t="s">
        <v>162</v>
      </c>
      <c r="F148" s="2">
        <f>EDU*2+APP*2</f>
        <v>0</v>
      </c>
      <c r="G148" s="20" t="s">
        <v>462</v>
      </c>
      <c r="H148" s="13" t="s">
        <v>613</v>
      </c>
      <c r="I148" s="3"/>
      <c r="J148" s="13" t="s">
        <v>539</v>
      </c>
      <c r="K148" s="3"/>
      <c r="L148" s="3"/>
      <c r="M148" s="3"/>
      <c r="N148" s="3"/>
    </row>
    <row r="149" spans="1:14" ht="16.5">
      <c r="A149" s="14">
        <v>147</v>
      </c>
      <c r="B149" s="15" t="s">
        <v>614</v>
      </c>
      <c r="C149" s="15"/>
      <c r="D149" s="16" t="s">
        <v>85</v>
      </c>
      <c r="E149" s="17" t="s">
        <v>162</v>
      </c>
      <c r="F149" s="17">
        <f>EDU*2+APP*2</f>
        <v>0</v>
      </c>
      <c r="G149" s="79" t="s">
        <v>615</v>
      </c>
      <c r="H149" s="13" t="s">
        <v>586</v>
      </c>
      <c r="I149" s="3"/>
      <c r="J149" s="13" t="s">
        <v>539</v>
      </c>
      <c r="K149" s="3"/>
      <c r="L149" s="3"/>
      <c r="M149" s="3"/>
      <c r="N149" s="3"/>
    </row>
    <row r="150" spans="1:14" ht="16.5">
      <c r="A150" s="18">
        <v>148</v>
      </c>
      <c r="B150" s="19" t="s">
        <v>616</v>
      </c>
      <c r="C150" s="19"/>
      <c r="D150" s="2" t="s">
        <v>536</v>
      </c>
      <c r="E150" s="2" t="s">
        <v>41</v>
      </c>
      <c r="F150" s="2">
        <f>EDU*4</f>
        <v>0</v>
      </c>
      <c r="G150" s="20" t="s">
        <v>617</v>
      </c>
      <c r="H150" s="13" t="s">
        <v>618</v>
      </c>
      <c r="I150" s="3"/>
      <c r="J150" s="13" t="s">
        <v>539</v>
      </c>
      <c r="K150" s="3"/>
      <c r="L150" s="3"/>
      <c r="M150" s="3"/>
      <c r="N150" s="3"/>
    </row>
    <row r="151" spans="1:14" ht="16.5">
      <c r="A151" s="14">
        <v>149</v>
      </c>
      <c r="B151" s="15" t="s">
        <v>619</v>
      </c>
      <c r="C151" s="15"/>
      <c r="D151" s="16" t="s">
        <v>18</v>
      </c>
      <c r="E151" s="17" t="s">
        <v>35</v>
      </c>
      <c r="F151" s="17">
        <f>EDU*2+MAX(STR*2,DEX*2)</f>
        <v>0</v>
      </c>
      <c r="G151" s="79" t="s">
        <v>620</v>
      </c>
      <c r="H151" s="13" t="s">
        <v>621</v>
      </c>
      <c r="I151" s="3"/>
      <c r="J151" s="13" t="s">
        <v>539</v>
      </c>
      <c r="K151" s="3"/>
      <c r="L151" s="3"/>
      <c r="M151" s="3"/>
      <c r="N151" s="3"/>
    </row>
    <row r="152" spans="1:14" ht="16.5">
      <c r="A152" s="18">
        <v>150</v>
      </c>
      <c r="B152" s="19" t="s">
        <v>622</v>
      </c>
      <c r="C152" s="19"/>
      <c r="D152" s="2" t="s">
        <v>623</v>
      </c>
      <c r="E152" s="2" t="s">
        <v>41</v>
      </c>
      <c r="F152" s="2">
        <f t="shared" ref="F152:F157" si="1">EDU*4</f>
        <v>0</v>
      </c>
      <c r="G152" s="20" t="s">
        <v>624</v>
      </c>
      <c r="H152" s="13" t="s">
        <v>625</v>
      </c>
      <c r="I152" s="3"/>
      <c r="J152" s="13" t="s">
        <v>539</v>
      </c>
      <c r="K152" s="3"/>
      <c r="L152" s="3"/>
      <c r="M152" s="3"/>
      <c r="N152" s="3"/>
    </row>
    <row r="153" spans="1:14" ht="16.5">
      <c r="A153" s="14">
        <v>151</v>
      </c>
      <c r="B153" s="15" t="s">
        <v>626</v>
      </c>
      <c r="C153" s="15"/>
      <c r="D153" s="16" t="s">
        <v>181</v>
      </c>
      <c r="E153" s="17" t="s">
        <v>41</v>
      </c>
      <c r="F153" s="17">
        <f t="shared" si="1"/>
        <v>0</v>
      </c>
      <c r="G153" s="79" t="s">
        <v>627</v>
      </c>
      <c r="H153" s="13" t="s">
        <v>628</v>
      </c>
      <c r="I153" s="3"/>
      <c r="J153" s="13" t="s">
        <v>539</v>
      </c>
      <c r="K153" s="3"/>
      <c r="L153" s="3"/>
      <c r="M153" s="3"/>
      <c r="N153" s="3"/>
    </row>
    <row r="154" spans="1:14" ht="16.5">
      <c r="A154" s="18">
        <v>152</v>
      </c>
      <c r="B154" s="19" t="s">
        <v>629</v>
      </c>
      <c r="C154" s="19"/>
      <c r="D154" s="2" t="s">
        <v>95</v>
      </c>
      <c r="E154" s="2" t="s">
        <v>41</v>
      </c>
      <c r="F154" s="2">
        <f t="shared" si="1"/>
        <v>0</v>
      </c>
      <c r="G154" s="20" t="s">
        <v>630</v>
      </c>
      <c r="H154" s="13" t="s">
        <v>631</v>
      </c>
      <c r="I154" s="3"/>
      <c r="J154" s="13" t="s">
        <v>539</v>
      </c>
      <c r="K154" s="3"/>
      <c r="L154" s="3"/>
      <c r="M154" s="3"/>
      <c r="N154" s="3"/>
    </row>
    <row r="155" spans="1:14" ht="16.5">
      <c r="A155" s="14">
        <v>153</v>
      </c>
      <c r="B155" s="15" t="s">
        <v>632</v>
      </c>
      <c r="C155" s="15"/>
      <c r="D155" s="16" t="s">
        <v>85</v>
      </c>
      <c r="E155" s="17" t="s">
        <v>41</v>
      </c>
      <c r="F155" s="17">
        <f t="shared" si="1"/>
        <v>0</v>
      </c>
      <c r="G155" s="79" t="s">
        <v>633</v>
      </c>
      <c r="H155" s="13" t="s">
        <v>634</v>
      </c>
      <c r="I155" s="3"/>
      <c r="J155" s="13" t="s">
        <v>539</v>
      </c>
      <c r="K155" s="3"/>
      <c r="L155" s="3"/>
      <c r="M155" s="3"/>
      <c r="N155" s="3"/>
    </row>
    <row r="156" spans="1:14" ht="17.25" thickBot="1">
      <c r="A156" s="18">
        <v>154</v>
      </c>
      <c r="B156" s="19" t="s">
        <v>635</v>
      </c>
      <c r="C156" s="19"/>
      <c r="D156" s="2" t="s">
        <v>139</v>
      </c>
      <c r="E156" s="2" t="s">
        <v>41</v>
      </c>
      <c r="F156" s="2">
        <f t="shared" si="1"/>
        <v>0</v>
      </c>
      <c r="G156" s="20" t="s">
        <v>636</v>
      </c>
      <c r="H156" s="13" t="s">
        <v>637</v>
      </c>
      <c r="I156" s="3"/>
      <c r="J156" s="13" t="s">
        <v>539</v>
      </c>
      <c r="K156" s="3"/>
      <c r="L156" s="3"/>
      <c r="M156" s="3"/>
      <c r="N156" s="3"/>
    </row>
    <row r="157" spans="1:14" ht="16.5">
      <c r="A157" s="14">
        <v>155</v>
      </c>
      <c r="B157" s="15" t="s">
        <v>638</v>
      </c>
      <c r="C157" s="15"/>
      <c r="D157" s="16" t="s">
        <v>85</v>
      </c>
      <c r="E157" s="17" t="s">
        <v>41</v>
      </c>
      <c r="F157" s="17">
        <f t="shared" si="1"/>
        <v>0</v>
      </c>
      <c r="G157" s="79" t="s">
        <v>639</v>
      </c>
      <c r="H157" s="13" t="s">
        <v>640</v>
      </c>
      <c r="I157" s="3"/>
      <c r="J157" s="13" t="s">
        <v>539</v>
      </c>
      <c r="K157" s="3"/>
      <c r="L157" s="80" t="s">
        <v>641</v>
      </c>
      <c r="M157" s="81"/>
      <c r="N157" s="21" t="s">
        <v>642</v>
      </c>
    </row>
    <row r="158" spans="1:14" ht="17.25" thickBot="1">
      <c r="A158" s="22">
        <v>156</v>
      </c>
      <c r="B158" s="23" t="s">
        <v>643</v>
      </c>
      <c r="C158" s="23"/>
      <c r="D158" s="24" t="s">
        <v>85</v>
      </c>
      <c r="E158" s="24" t="s">
        <v>35</v>
      </c>
      <c r="F158" s="24">
        <f>EDU*2+MAX(STR*2,DEX*2)</f>
        <v>0</v>
      </c>
      <c r="G158" s="25" t="s">
        <v>644</v>
      </c>
      <c r="H158" s="13" t="s">
        <v>645</v>
      </c>
      <c r="I158" s="3"/>
      <c r="J158" s="13" t="s">
        <v>539</v>
      </c>
      <c r="K158" s="3"/>
      <c r="L158" s="82" t="s">
        <v>646</v>
      </c>
      <c r="M158" s="83"/>
      <c r="N158" s="26" t="s">
        <v>647</v>
      </c>
    </row>
    <row r="159" spans="1:14" ht="16.5">
      <c r="A159" s="27">
        <v>157</v>
      </c>
      <c r="B159" s="28" t="s">
        <v>648</v>
      </c>
      <c r="C159" s="28"/>
      <c r="D159" s="29" t="s">
        <v>95</v>
      </c>
      <c r="E159" s="30" t="s">
        <v>35</v>
      </c>
      <c r="F159" s="30">
        <f>EDU*2+MAX(STR*2,DEX*2)</f>
        <v>0</v>
      </c>
      <c r="G159" s="84" t="s">
        <v>649</v>
      </c>
      <c r="H159" s="31" t="s">
        <v>650</v>
      </c>
      <c r="I159" s="32"/>
      <c r="J159" s="31" t="s">
        <v>651</v>
      </c>
      <c r="K159" s="33"/>
      <c r="L159" s="85" t="s">
        <v>652</v>
      </c>
      <c r="M159" s="86"/>
      <c r="N159" s="34" t="s">
        <v>653</v>
      </c>
    </row>
    <row r="160" spans="1:14" ht="16.5">
      <c r="A160" s="18">
        <v>158</v>
      </c>
      <c r="B160" s="19" t="s">
        <v>654</v>
      </c>
      <c r="C160" s="19"/>
      <c r="D160" s="2" t="s">
        <v>486</v>
      </c>
      <c r="E160" s="2" t="s">
        <v>35</v>
      </c>
      <c r="F160" s="2">
        <f>EDU*2+MAX(STR*2,DEX*2)</f>
        <v>0</v>
      </c>
      <c r="G160" s="20" t="s">
        <v>655</v>
      </c>
      <c r="H160" s="31" t="s">
        <v>656</v>
      </c>
      <c r="I160" s="32"/>
      <c r="J160" s="31" t="s">
        <v>651</v>
      </c>
      <c r="K160" s="33"/>
      <c r="L160" s="82" t="s">
        <v>657</v>
      </c>
      <c r="M160" s="83"/>
      <c r="N160" s="26" t="s">
        <v>647</v>
      </c>
    </row>
    <row r="161" spans="1:14" ht="16.5">
      <c r="A161" s="14">
        <v>159</v>
      </c>
      <c r="B161" s="15" t="s">
        <v>658</v>
      </c>
      <c r="C161" s="15"/>
      <c r="D161" s="16" t="s">
        <v>659</v>
      </c>
      <c r="E161" s="17" t="s">
        <v>41</v>
      </c>
      <c r="F161" s="17">
        <f>EDU*4</f>
        <v>0</v>
      </c>
      <c r="G161" s="79" t="s">
        <v>660</v>
      </c>
      <c r="H161" s="31" t="s">
        <v>661</v>
      </c>
      <c r="I161" s="32"/>
      <c r="J161" s="31" t="s">
        <v>651</v>
      </c>
      <c r="K161" s="33"/>
      <c r="L161" s="85" t="s">
        <v>662</v>
      </c>
      <c r="M161" s="86"/>
      <c r="N161" s="34" t="s">
        <v>647</v>
      </c>
    </row>
    <row r="162" spans="1:14" ht="16.5">
      <c r="A162" s="18">
        <v>160</v>
      </c>
      <c r="B162" s="19" t="s">
        <v>663</v>
      </c>
      <c r="C162" s="19"/>
      <c r="D162" s="2" t="s">
        <v>181</v>
      </c>
      <c r="E162" s="2" t="s">
        <v>41</v>
      </c>
      <c r="F162" s="2">
        <f>EDU*4</f>
        <v>0</v>
      </c>
      <c r="G162" s="20" t="s">
        <v>664</v>
      </c>
      <c r="H162" s="31" t="s">
        <v>118</v>
      </c>
      <c r="I162" s="32"/>
      <c r="J162" s="31" t="s">
        <v>651</v>
      </c>
      <c r="K162" s="33"/>
      <c r="L162" s="82" t="s">
        <v>665</v>
      </c>
      <c r="M162" s="83"/>
      <c r="N162" s="26" t="s">
        <v>666</v>
      </c>
    </row>
    <row r="163" spans="1:14" ht="16.5">
      <c r="A163" s="14">
        <v>161</v>
      </c>
      <c r="B163" s="15" t="s">
        <v>667</v>
      </c>
      <c r="C163" s="15"/>
      <c r="D163" s="16" t="s">
        <v>95</v>
      </c>
      <c r="E163" s="17" t="s">
        <v>41</v>
      </c>
      <c r="F163" s="17">
        <f>EDU*4</f>
        <v>0</v>
      </c>
      <c r="G163" s="79" t="s">
        <v>668</v>
      </c>
      <c r="H163" s="31"/>
      <c r="I163" s="32"/>
      <c r="J163" s="31" t="s">
        <v>651</v>
      </c>
      <c r="K163" s="33"/>
      <c r="L163" s="85" t="s">
        <v>669</v>
      </c>
      <c r="M163" s="86"/>
      <c r="N163" s="34" t="s">
        <v>653</v>
      </c>
    </row>
    <row r="164" spans="1:14" ht="16.5">
      <c r="A164" s="18">
        <v>162</v>
      </c>
      <c r="B164" s="19" t="s">
        <v>670</v>
      </c>
      <c r="C164" s="19"/>
      <c r="D164" s="2" t="s">
        <v>18</v>
      </c>
      <c r="E164" s="2" t="s">
        <v>35</v>
      </c>
      <c r="F164" s="2">
        <f>EDU*2+MAX(STR*2,DEX*2)</f>
        <v>0</v>
      </c>
      <c r="G164" s="20" t="s">
        <v>671</v>
      </c>
      <c r="H164" s="31"/>
      <c r="I164" s="32"/>
      <c r="J164" s="31" t="s">
        <v>651</v>
      </c>
      <c r="K164" s="33"/>
      <c r="L164" s="82" t="s">
        <v>672</v>
      </c>
      <c r="M164" s="83"/>
      <c r="N164" s="26" t="s">
        <v>673</v>
      </c>
    </row>
    <row r="165" spans="1:14" ht="17.25" thickBot="1">
      <c r="A165" s="14">
        <v>163</v>
      </c>
      <c r="B165" s="15" t="s">
        <v>674</v>
      </c>
      <c r="C165" s="15"/>
      <c r="D165" s="16" t="s">
        <v>486</v>
      </c>
      <c r="E165" s="17" t="s">
        <v>41</v>
      </c>
      <c r="F165" s="17">
        <f>EDU*4</f>
        <v>0</v>
      </c>
      <c r="G165" s="79" t="s">
        <v>675</v>
      </c>
      <c r="H165" s="31" t="s">
        <v>676</v>
      </c>
      <c r="I165" s="32"/>
      <c r="J165" s="31" t="s">
        <v>651</v>
      </c>
      <c r="K165" s="33"/>
      <c r="L165" s="87" t="s">
        <v>677</v>
      </c>
      <c r="M165" s="88"/>
      <c r="N165" s="35" t="s">
        <v>647</v>
      </c>
    </row>
    <row r="166" spans="1:14" ht="16.5">
      <c r="A166" s="18">
        <v>164</v>
      </c>
      <c r="B166" s="19" t="s">
        <v>678</v>
      </c>
      <c r="C166" s="19"/>
      <c r="D166" s="2" t="s">
        <v>150</v>
      </c>
      <c r="E166" s="2" t="s">
        <v>41</v>
      </c>
      <c r="F166" s="2">
        <f>EDU*4</f>
        <v>0</v>
      </c>
      <c r="G166" s="20" t="s">
        <v>679</v>
      </c>
      <c r="H166" s="31"/>
      <c r="I166" s="32"/>
      <c r="J166" s="31" t="s">
        <v>651</v>
      </c>
      <c r="K166" s="32"/>
      <c r="L166" s="89" t="s">
        <v>680</v>
      </c>
      <c r="M166" s="89"/>
      <c r="N166" s="89"/>
    </row>
    <row r="167" spans="1:14" ht="16.5">
      <c r="A167" s="14">
        <v>165</v>
      </c>
      <c r="B167" s="15" t="s">
        <v>681</v>
      </c>
      <c r="C167" s="15"/>
      <c r="D167" s="16" t="s">
        <v>18</v>
      </c>
      <c r="E167" s="17" t="s">
        <v>41</v>
      </c>
      <c r="F167" s="17">
        <f>EDU*4</f>
        <v>0</v>
      </c>
      <c r="G167" s="79" t="s">
        <v>682</v>
      </c>
      <c r="H167" s="36"/>
      <c r="I167" s="37"/>
      <c r="J167" s="36" t="s">
        <v>651</v>
      </c>
      <c r="K167" s="37"/>
      <c r="L167" s="89"/>
      <c r="M167" s="89"/>
      <c r="N167" s="89"/>
    </row>
    <row r="168" spans="1:14" ht="16.5">
      <c r="A168" s="18">
        <v>166</v>
      </c>
      <c r="B168" s="19" t="s">
        <v>683</v>
      </c>
      <c r="C168" s="19"/>
      <c r="D168" s="2" t="s">
        <v>56</v>
      </c>
      <c r="E168" s="2" t="s">
        <v>41</v>
      </c>
      <c r="F168" s="2">
        <f>EDU*4</f>
        <v>0</v>
      </c>
      <c r="G168" s="20" t="s">
        <v>684</v>
      </c>
      <c r="H168" s="13"/>
      <c r="I168" s="3"/>
      <c r="J168" s="13" t="s">
        <v>651</v>
      </c>
      <c r="K168" s="3"/>
      <c r="L168" s="89"/>
      <c r="M168" s="89"/>
      <c r="N168" s="89"/>
    </row>
    <row r="169" spans="1:14" ht="16.5">
      <c r="A169" s="14">
        <v>167</v>
      </c>
      <c r="B169" s="15" t="s">
        <v>685</v>
      </c>
      <c r="C169" s="15"/>
      <c r="D169" s="16" t="s">
        <v>139</v>
      </c>
      <c r="E169" s="17" t="s">
        <v>41</v>
      </c>
      <c r="F169" s="17">
        <f>EDU*4</f>
        <v>0</v>
      </c>
      <c r="G169" s="79" t="s">
        <v>686</v>
      </c>
      <c r="H169" s="13" t="s">
        <v>687</v>
      </c>
      <c r="I169" s="3"/>
      <c r="J169" s="13" t="s">
        <v>651</v>
      </c>
      <c r="K169" s="3"/>
      <c r="L169" s="90" t="s">
        <v>688</v>
      </c>
      <c r="M169" s="90"/>
      <c r="N169" s="90"/>
    </row>
    <row r="170" spans="1:14" ht="16.5">
      <c r="A170" s="18">
        <v>168</v>
      </c>
      <c r="B170" s="19" t="s">
        <v>689</v>
      </c>
      <c r="C170" s="19"/>
      <c r="D170" s="2" t="s">
        <v>222</v>
      </c>
      <c r="E170" s="2" t="s">
        <v>35</v>
      </c>
      <c r="F170" s="2">
        <f>EDU*2+MAX(STR*2,DEX*2)</f>
        <v>0</v>
      </c>
      <c r="G170" s="20" t="s">
        <v>690</v>
      </c>
      <c r="H170" s="13" t="s">
        <v>691</v>
      </c>
      <c r="I170" s="3"/>
      <c r="J170" s="13" t="s">
        <v>651</v>
      </c>
      <c r="K170" s="3"/>
      <c r="L170" s="90"/>
      <c r="M170" s="90"/>
      <c r="N170" s="90"/>
    </row>
    <row r="171" spans="1:14" ht="17.25" thickBot="1">
      <c r="A171" s="38">
        <v>169</v>
      </c>
      <c r="B171" s="39" t="s">
        <v>692</v>
      </c>
      <c r="C171" s="39"/>
      <c r="D171" s="40" t="s">
        <v>109</v>
      </c>
      <c r="E171" s="41" t="s">
        <v>110</v>
      </c>
      <c r="F171" s="41">
        <f>EDU*2+STR*2</f>
        <v>0</v>
      </c>
      <c r="G171" s="91" t="s">
        <v>693</v>
      </c>
      <c r="H171" s="13"/>
      <c r="I171" s="3"/>
      <c r="J171" s="13" t="s">
        <v>651</v>
      </c>
      <c r="K171" s="3"/>
      <c r="L171" s="90" t="s">
        <v>694</v>
      </c>
      <c r="M171" s="90"/>
      <c r="N171" s="90"/>
    </row>
    <row r="172" spans="1:14" ht="16.5">
      <c r="A172" s="18">
        <v>170</v>
      </c>
      <c r="B172" s="19" t="s">
        <v>695</v>
      </c>
      <c r="C172" s="19"/>
      <c r="D172" s="2" t="s">
        <v>85</v>
      </c>
      <c r="E172" s="2" t="s">
        <v>35</v>
      </c>
      <c r="F172" s="2">
        <f>EDU*2+MAX(STR*2,DEX*2)</f>
        <v>0</v>
      </c>
      <c r="G172" s="20" t="s">
        <v>696</v>
      </c>
      <c r="H172" s="13" t="s">
        <v>697</v>
      </c>
      <c r="I172" s="3"/>
      <c r="J172" s="13" t="s">
        <v>698</v>
      </c>
      <c r="K172" s="3"/>
      <c r="L172" s="90"/>
      <c r="M172" s="90"/>
      <c r="N172" s="90"/>
    </row>
    <row r="173" spans="1:14" ht="16.5">
      <c r="A173" s="14">
        <v>171</v>
      </c>
      <c r="B173" s="15" t="s">
        <v>699</v>
      </c>
      <c r="C173" s="15"/>
      <c r="D173" s="16" t="s">
        <v>56</v>
      </c>
      <c r="E173" s="17" t="s">
        <v>41</v>
      </c>
      <c r="F173" s="17">
        <f>EDU*4</f>
        <v>0</v>
      </c>
      <c r="G173" s="79" t="s">
        <v>700</v>
      </c>
      <c r="H173" s="13" t="s">
        <v>701</v>
      </c>
      <c r="I173" s="3"/>
      <c r="J173" s="13" t="s">
        <v>698</v>
      </c>
      <c r="K173" s="3"/>
      <c r="L173" s="2"/>
      <c r="M173" s="2"/>
      <c r="N173" s="2"/>
    </row>
    <row r="174" spans="1:14" ht="16.5">
      <c r="A174" s="18">
        <v>172</v>
      </c>
      <c r="B174" s="19" t="s">
        <v>702</v>
      </c>
      <c r="C174" s="19"/>
      <c r="D174" s="2" t="s">
        <v>486</v>
      </c>
      <c r="E174" s="2" t="s">
        <v>41</v>
      </c>
      <c r="F174" s="2">
        <f>EDU*4</f>
        <v>0</v>
      </c>
      <c r="G174" s="20" t="s">
        <v>703</v>
      </c>
      <c r="H174" s="13"/>
      <c r="I174" s="3"/>
      <c r="J174" s="13" t="s">
        <v>704</v>
      </c>
      <c r="K174" s="3"/>
      <c r="L174" s="2"/>
      <c r="M174" s="2"/>
      <c r="N174" s="2"/>
    </row>
    <row r="175" spans="1:14" ht="16.5">
      <c r="A175" s="14">
        <v>173</v>
      </c>
      <c r="B175" s="15" t="s">
        <v>705</v>
      </c>
      <c r="C175" s="15"/>
      <c r="D175" s="16" t="s">
        <v>486</v>
      </c>
      <c r="E175" s="17" t="s">
        <v>41</v>
      </c>
      <c r="F175" s="17">
        <f>EDU*4</f>
        <v>0</v>
      </c>
      <c r="G175" s="79" t="s">
        <v>706</v>
      </c>
      <c r="H175" s="13" t="s">
        <v>707</v>
      </c>
      <c r="I175" s="3"/>
      <c r="J175" s="13" t="s">
        <v>704</v>
      </c>
      <c r="K175" s="3"/>
      <c r="L175" s="3"/>
      <c r="M175" s="3"/>
      <c r="N175" s="3"/>
    </row>
    <row r="176" spans="1:14" ht="16.5">
      <c r="A176" s="18">
        <v>174</v>
      </c>
      <c r="B176" s="19" t="s">
        <v>708</v>
      </c>
      <c r="C176" s="19"/>
      <c r="D176" s="2" t="s">
        <v>56</v>
      </c>
      <c r="E176" s="2" t="s">
        <v>47</v>
      </c>
      <c r="F176" s="2">
        <f>EDU*2+MAX(APP*2,POW*2)</f>
        <v>0</v>
      </c>
      <c r="G176" s="20" t="s">
        <v>709</v>
      </c>
      <c r="H176" s="13"/>
      <c r="I176" s="3"/>
      <c r="J176" s="13" t="s">
        <v>710</v>
      </c>
      <c r="K176" s="3"/>
      <c r="L176" s="92" t="s">
        <v>711</v>
      </c>
      <c r="M176" s="92"/>
      <c r="N176" s="92"/>
    </row>
    <row r="177" spans="1:14" ht="16.5">
      <c r="A177" s="14">
        <v>175</v>
      </c>
      <c r="B177" s="15" t="s">
        <v>712</v>
      </c>
      <c r="C177" s="15"/>
      <c r="D177" s="16" t="s">
        <v>491</v>
      </c>
      <c r="E177" s="17" t="s">
        <v>41</v>
      </c>
      <c r="F177" s="17">
        <f>EDU*4</f>
        <v>0</v>
      </c>
      <c r="G177" s="79" t="s">
        <v>713</v>
      </c>
      <c r="H177" s="13"/>
      <c r="I177" s="3"/>
      <c r="J177" s="13" t="s">
        <v>710</v>
      </c>
      <c r="K177" s="3"/>
      <c r="L177" s="92"/>
      <c r="M177" s="92"/>
      <c r="N177" s="92"/>
    </row>
    <row r="178" spans="1:14" ht="16.5">
      <c r="A178" s="18">
        <v>176</v>
      </c>
      <c r="B178" s="19" t="s">
        <v>714</v>
      </c>
      <c r="C178" s="19"/>
      <c r="D178" s="2" t="s">
        <v>121</v>
      </c>
      <c r="E178" s="2" t="s">
        <v>41</v>
      </c>
      <c r="F178" s="2">
        <f>EDU*4</f>
        <v>0</v>
      </c>
      <c r="G178" s="20" t="s">
        <v>715</v>
      </c>
      <c r="H178" s="13"/>
      <c r="I178" s="3"/>
      <c r="J178" s="13" t="s">
        <v>710</v>
      </c>
      <c r="K178" s="3"/>
      <c r="L178" s="92"/>
      <c r="M178" s="92"/>
      <c r="N178" s="92"/>
    </row>
    <row r="179" spans="1:14" ht="16.5">
      <c r="A179" s="14">
        <v>177</v>
      </c>
      <c r="B179" s="15" t="s">
        <v>716</v>
      </c>
      <c r="C179" s="15"/>
      <c r="D179" s="16" t="s">
        <v>56</v>
      </c>
      <c r="E179" s="17" t="s">
        <v>41</v>
      </c>
      <c r="F179" s="17">
        <f>EDU*4</f>
        <v>0</v>
      </c>
      <c r="G179" s="79" t="s">
        <v>594</v>
      </c>
      <c r="H179" s="13" t="s">
        <v>595</v>
      </c>
      <c r="I179" s="3"/>
      <c r="J179" s="13" t="s">
        <v>710</v>
      </c>
      <c r="K179" s="3"/>
      <c r="L179" s="92"/>
      <c r="M179" s="92"/>
      <c r="N179" s="92"/>
    </row>
    <row r="180" spans="1:14" ht="16.5">
      <c r="A180" s="18">
        <v>178</v>
      </c>
      <c r="B180" s="19" t="s">
        <v>717</v>
      </c>
      <c r="C180" s="19"/>
      <c r="D180" s="2" t="s">
        <v>491</v>
      </c>
      <c r="E180" s="2" t="s">
        <v>35</v>
      </c>
      <c r="F180" s="2">
        <f>EDU*2+MAX(STR*2,DEX*2)</f>
        <v>0</v>
      </c>
      <c r="G180" s="20" t="s">
        <v>718</v>
      </c>
      <c r="H180" s="13"/>
      <c r="I180" s="3"/>
      <c r="J180" s="13" t="s">
        <v>710</v>
      </c>
      <c r="K180" s="3"/>
      <c r="L180" s="3"/>
      <c r="M180" s="3"/>
      <c r="N180" s="3"/>
    </row>
    <row r="181" spans="1:14" ht="16.5">
      <c r="A181" s="14">
        <v>179</v>
      </c>
      <c r="B181" s="15" t="s">
        <v>719</v>
      </c>
      <c r="C181" s="15"/>
      <c r="D181" s="16" t="s">
        <v>80</v>
      </c>
      <c r="E181" s="17" t="s">
        <v>25</v>
      </c>
      <c r="F181" s="17">
        <f>EDU*2+APP*2</f>
        <v>0</v>
      </c>
      <c r="G181" s="79" t="s">
        <v>254</v>
      </c>
      <c r="H181" s="13"/>
      <c r="I181" s="3"/>
      <c r="J181" s="13" t="s">
        <v>710</v>
      </c>
      <c r="K181" s="3"/>
      <c r="L181" s="3"/>
      <c r="M181" s="3"/>
      <c r="N181" s="3"/>
    </row>
    <row r="182" spans="1:14" ht="16.5">
      <c r="A182" s="18">
        <v>180</v>
      </c>
      <c r="B182" s="19" t="s">
        <v>720</v>
      </c>
      <c r="C182" s="19"/>
      <c r="D182" s="2" t="s">
        <v>181</v>
      </c>
      <c r="E182" s="2" t="s">
        <v>41</v>
      </c>
      <c r="F182" s="2">
        <f>EDU*4</f>
        <v>0</v>
      </c>
      <c r="G182" s="20" t="s">
        <v>721</v>
      </c>
      <c r="H182" s="13"/>
      <c r="I182" s="3"/>
      <c r="J182" s="13" t="s">
        <v>710</v>
      </c>
      <c r="K182" s="3"/>
      <c r="L182" s="3"/>
      <c r="M182" s="3"/>
      <c r="N182" s="3"/>
    </row>
    <row r="183" spans="1:14" ht="16.5">
      <c r="A183" s="14">
        <v>181</v>
      </c>
      <c r="B183" s="15" t="s">
        <v>722</v>
      </c>
      <c r="C183" s="15"/>
      <c r="D183" s="16" t="s">
        <v>85</v>
      </c>
      <c r="E183" s="17" t="s">
        <v>41</v>
      </c>
      <c r="F183" s="17">
        <f>EDU*4</f>
        <v>0</v>
      </c>
      <c r="G183" s="79" t="s">
        <v>723</v>
      </c>
      <c r="H183" s="13"/>
      <c r="I183" s="3"/>
      <c r="J183" s="13" t="s">
        <v>710</v>
      </c>
      <c r="K183" s="3"/>
      <c r="L183" s="3"/>
      <c r="M183" s="3"/>
      <c r="N183" s="3"/>
    </row>
    <row r="184" spans="1:14" ht="16.5">
      <c r="A184" s="18">
        <v>182</v>
      </c>
      <c r="B184" s="19" t="s">
        <v>724</v>
      </c>
      <c r="C184" s="19"/>
      <c r="D184" s="2" t="s">
        <v>100</v>
      </c>
      <c r="E184" s="2" t="s">
        <v>41</v>
      </c>
      <c r="F184" s="2">
        <f>EDU*4</f>
        <v>0</v>
      </c>
      <c r="G184" s="20" t="s">
        <v>725</v>
      </c>
      <c r="H184" s="13"/>
      <c r="I184" s="3"/>
      <c r="J184" s="13" t="s">
        <v>710</v>
      </c>
      <c r="K184" s="3"/>
      <c r="L184" s="3"/>
      <c r="M184" s="3"/>
      <c r="N184" s="3"/>
    </row>
    <row r="185" spans="1:14" ht="16.5">
      <c r="A185" s="14">
        <v>183</v>
      </c>
      <c r="B185" s="15" t="s">
        <v>726</v>
      </c>
      <c r="C185" s="15"/>
      <c r="D185" s="16" t="s">
        <v>85</v>
      </c>
      <c r="E185" s="17" t="s">
        <v>35</v>
      </c>
      <c r="F185" s="17">
        <f>EDU*2+MAX(STR*2,DEX*2)</f>
        <v>0</v>
      </c>
      <c r="G185" s="79" t="s">
        <v>479</v>
      </c>
      <c r="H185" s="13"/>
      <c r="I185" s="3"/>
      <c r="J185" s="13" t="s">
        <v>710</v>
      </c>
      <c r="K185" s="3"/>
      <c r="L185" s="2"/>
      <c r="M185" s="2"/>
      <c r="N185" s="3"/>
    </row>
    <row r="186" spans="1:14" ht="16.5">
      <c r="A186" s="18">
        <v>184</v>
      </c>
      <c r="B186" s="19" t="s">
        <v>727</v>
      </c>
      <c r="C186" s="19"/>
      <c r="D186" s="2" t="s">
        <v>85</v>
      </c>
      <c r="E186" s="2" t="s">
        <v>35</v>
      </c>
      <c r="F186" s="2">
        <f>EDU*2+MAX(STR*2,DEX*2)</f>
        <v>0</v>
      </c>
      <c r="G186" s="20" t="s">
        <v>479</v>
      </c>
      <c r="H186" s="13"/>
      <c r="I186" s="3"/>
      <c r="J186" s="13" t="s">
        <v>710</v>
      </c>
      <c r="K186" s="3"/>
      <c r="L186" s="2"/>
      <c r="M186" s="2"/>
      <c r="N186" s="3"/>
    </row>
    <row r="187" spans="1:14" ht="16.5">
      <c r="A187" s="14">
        <v>185</v>
      </c>
      <c r="B187" s="15" t="s">
        <v>728</v>
      </c>
      <c r="C187" s="15"/>
      <c r="D187" s="16" t="s">
        <v>258</v>
      </c>
      <c r="E187" s="17" t="s">
        <v>223</v>
      </c>
      <c r="F187" s="17">
        <f>EDU*2+MAX(DEX*2,APP*2,STR*2)</f>
        <v>0</v>
      </c>
      <c r="G187" s="79" t="s">
        <v>729</v>
      </c>
      <c r="H187" s="13"/>
      <c r="I187" s="3"/>
      <c r="J187" s="13" t="s">
        <v>710</v>
      </c>
      <c r="K187" s="3"/>
      <c r="L187" s="2"/>
      <c r="M187" s="2"/>
      <c r="N187" s="3"/>
    </row>
    <row r="188" spans="1:14" ht="16.5">
      <c r="A188" s="18">
        <v>186</v>
      </c>
      <c r="B188" s="19" t="s">
        <v>730</v>
      </c>
      <c r="C188" s="19"/>
      <c r="D188" s="2" t="s">
        <v>12</v>
      </c>
      <c r="E188" s="2" t="s">
        <v>41</v>
      </c>
      <c r="F188" s="2">
        <f>EDU*4</f>
        <v>0</v>
      </c>
      <c r="G188" s="20" t="s">
        <v>559</v>
      </c>
      <c r="H188" s="13"/>
      <c r="I188" s="3"/>
      <c r="J188" s="13" t="s">
        <v>710</v>
      </c>
      <c r="K188" s="3"/>
      <c r="L188" s="3"/>
      <c r="M188" s="3"/>
      <c r="N188" s="3"/>
    </row>
    <row r="189" spans="1:14" ht="16.5">
      <c r="A189" s="14">
        <v>187</v>
      </c>
      <c r="B189" s="15" t="s">
        <v>731</v>
      </c>
      <c r="C189" s="15"/>
      <c r="D189" s="16" t="s">
        <v>80</v>
      </c>
      <c r="E189" s="17" t="s">
        <v>25</v>
      </c>
      <c r="F189" s="17">
        <f>EDU*2+APP*2</f>
        <v>0</v>
      </c>
      <c r="G189" s="79" t="s">
        <v>732</v>
      </c>
      <c r="H189" s="13"/>
      <c r="I189" s="3"/>
      <c r="J189" s="13" t="s">
        <v>710</v>
      </c>
      <c r="K189" s="3"/>
      <c r="L189" s="3"/>
      <c r="M189" s="3"/>
      <c r="N189" s="3"/>
    </row>
    <row r="190" spans="1:14" ht="16.5">
      <c r="A190" s="18">
        <v>188</v>
      </c>
      <c r="B190" s="19" t="s">
        <v>733</v>
      </c>
      <c r="C190" s="19"/>
      <c r="D190" s="2" t="s">
        <v>80</v>
      </c>
      <c r="E190" s="2" t="s">
        <v>25</v>
      </c>
      <c r="F190" s="2">
        <f>EDU*2+APP*2</f>
        <v>0</v>
      </c>
      <c r="G190" s="20" t="s">
        <v>734</v>
      </c>
      <c r="H190" s="13"/>
      <c r="I190" s="3"/>
      <c r="J190" s="13" t="s">
        <v>710</v>
      </c>
      <c r="K190" s="3"/>
      <c r="L190" s="3"/>
      <c r="M190" s="3"/>
      <c r="N190" s="3"/>
    </row>
    <row r="191" spans="1:14" ht="16.5">
      <c r="A191" s="14">
        <v>189</v>
      </c>
      <c r="B191" s="15" t="s">
        <v>735</v>
      </c>
      <c r="C191" s="15"/>
      <c r="D191" s="16" t="s">
        <v>80</v>
      </c>
      <c r="E191" s="17" t="s">
        <v>25</v>
      </c>
      <c r="F191" s="17">
        <f>EDU*2+APP*2</f>
        <v>0</v>
      </c>
      <c r="G191" s="79" t="s">
        <v>736</v>
      </c>
      <c r="H191" s="13"/>
      <c r="I191" s="3"/>
      <c r="J191" s="13" t="s">
        <v>710</v>
      </c>
      <c r="K191" s="3"/>
      <c r="L191" s="3"/>
      <c r="M191" s="3"/>
      <c r="N191" s="3"/>
    </row>
    <row r="192" spans="1:14" ht="16.5">
      <c r="A192" s="18">
        <v>190</v>
      </c>
      <c r="B192" s="19" t="s">
        <v>737</v>
      </c>
      <c r="C192" s="19"/>
      <c r="D192" s="2" t="s">
        <v>18</v>
      </c>
      <c r="E192" s="2" t="s">
        <v>157</v>
      </c>
      <c r="F192" s="2">
        <f>EDU*2+DEX*2</f>
        <v>0</v>
      </c>
      <c r="G192" s="20" t="s">
        <v>738</v>
      </c>
      <c r="H192" s="13"/>
      <c r="I192" s="3"/>
      <c r="J192" s="13" t="s">
        <v>710</v>
      </c>
      <c r="K192" s="3"/>
      <c r="L192" s="3"/>
      <c r="M192" s="3"/>
      <c r="N192" s="3"/>
    </row>
    <row r="193" spans="1:14" ht="16.5">
      <c r="A193" s="14">
        <v>191</v>
      </c>
      <c r="B193" s="15" t="s">
        <v>739</v>
      </c>
      <c r="C193" s="15"/>
      <c r="D193" s="16" t="s">
        <v>322</v>
      </c>
      <c r="E193" s="17" t="s">
        <v>41</v>
      </c>
      <c r="F193" s="17">
        <f>EDU*4</f>
        <v>0</v>
      </c>
      <c r="G193" s="79" t="s">
        <v>610</v>
      </c>
      <c r="H193" s="13"/>
      <c r="I193" s="3"/>
      <c r="J193" s="13" t="s">
        <v>710</v>
      </c>
      <c r="K193" s="3"/>
      <c r="L193" s="3"/>
      <c r="M193" s="3"/>
      <c r="N193" s="3"/>
    </row>
    <row r="194" spans="1:14" ht="16.5">
      <c r="A194" s="18">
        <v>192</v>
      </c>
      <c r="B194" s="19" t="s">
        <v>740</v>
      </c>
      <c r="C194" s="19"/>
      <c r="D194" s="2" t="s">
        <v>322</v>
      </c>
      <c r="E194" s="2" t="s">
        <v>41</v>
      </c>
      <c r="F194" s="2">
        <f>EDU*4</f>
        <v>0</v>
      </c>
      <c r="G194" s="20" t="s">
        <v>610</v>
      </c>
      <c r="H194" s="13"/>
      <c r="I194" s="3"/>
      <c r="J194" s="13" t="s">
        <v>710</v>
      </c>
      <c r="K194" s="3"/>
      <c r="L194" s="3"/>
      <c r="M194" s="3"/>
      <c r="N194" s="3"/>
    </row>
    <row r="195" spans="1:14" ht="16.5">
      <c r="A195" s="14">
        <v>193</v>
      </c>
      <c r="B195" s="15" t="s">
        <v>741</v>
      </c>
      <c r="C195" s="15"/>
      <c r="D195" s="16" t="s">
        <v>322</v>
      </c>
      <c r="E195" s="17" t="s">
        <v>41</v>
      </c>
      <c r="F195" s="17">
        <f>EDU*4</f>
        <v>0</v>
      </c>
      <c r="G195" s="79" t="s">
        <v>610</v>
      </c>
      <c r="H195" s="13"/>
      <c r="I195" s="3"/>
      <c r="J195" s="13" t="s">
        <v>710</v>
      </c>
      <c r="K195" s="3"/>
      <c r="L195" s="3"/>
      <c r="M195" s="3"/>
      <c r="N195" s="3"/>
    </row>
    <row r="196" spans="1:14" ht="16.5">
      <c r="A196" s="18">
        <v>194</v>
      </c>
      <c r="B196" s="19" t="s">
        <v>742</v>
      </c>
      <c r="C196" s="19"/>
      <c r="D196" s="2" t="s">
        <v>80</v>
      </c>
      <c r="E196" s="2" t="s">
        <v>25</v>
      </c>
      <c r="F196" s="2">
        <f>EDU*2+APP*2</f>
        <v>0</v>
      </c>
      <c r="G196" s="20" t="s">
        <v>743</v>
      </c>
      <c r="H196" s="13"/>
      <c r="I196" s="3"/>
      <c r="J196" s="13" t="s">
        <v>710</v>
      </c>
      <c r="K196" s="3"/>
      <c r="L196" s="3"/>
      <c r="M196" s="3"/>
      <c r="N196" s="3"/>
    </row>
    <row r="197" spans="1:14" ht="16.5">
      <c r="A197" s="14">
        <v>195</v>
      </c>
      <c r="B197" s="15" t="s">
        <v>744</v>
      </c>
      <c r="C197" s="15"/>
      <c r="D197" s="16" t="s">
        <v>12</v>
      </c>
      <c r="E197" s="17" t="s">
        <v>41</v>
      </c>
      <c r="F197" s="17">
        <f>EDU*4</f>
        <v>0</v>
      </c>
      <c r="G197" s="79" t="s">
        <v>745</v>
      </c>
      <c r="H197" s="13"/>
      <c r="I197" s="3"/>
      <c r="J197" s="13" t="s">
        <v>710</v>
      </c>
      <c r="K197" s="3"/>
      <c r="L197" s="3"/>
      <c r="M197" s="3"/>
      <c r="N197" s="3"/>
    </row>
    <row r="198" spans="1:14" ht="16.5">
      <c r="A198" s="18">
        <v>196</v>
      </c>
      <c r="B198" s="19" t="s">
        <v>746</v>
      </c>
      <c r="C198" s="19"/>
      <c r="D198" s="2" t="s">
        <v>85</v>
      </c>
      <c r="E198" s="2" t="s">
        <v>157</v>
      </c>
      <c r="F198" s="2">
        <f>EDU*2+DEX*2</f>
        <v>0</v>
      </c>
      <c r="G198" s="20" t="s">
        <v>747</v>
      </c>
      <c r="H198" s="13"/>
      <c r="I198" s="3"/>
      <c r="J198" s="13" t="s">
        <v>710</v>
      </c>
      <c r="K198" s="3"/>
      <c r="L198" s="3"/>
      <c r="M198" s="3"/>
      <c r="N198" s="3"/>
    </row>
    <row r="199" spans="1:14" ht="16.5">
      <c r="A199" s="14">
        <v>197</v>
      </c>
      <c r="B199" s="15" t="s">
        <v>748</v>
      </c>
      <c r="C199" s="15"/>
      <c r="D199" s="16" t="s">
        <v>85</v>
      </c>
      <c r="E199" s="17" t="s">
        <v>749</v>
      </c>
      <c r="F199" s="17">
        <f>EDU*2+MAX(EDU*2,APP*2)</f>
        <v>0</v>
      </c>
      <c r="G199" s="79" t="s">
        <v>750</v>
      </c>
      <c r="H199" s="13"/>
      <c r="I199" s="3"/>
      <c r="J199" s="13" t="s">
        <v>710</v>
      </c>
      <c r="K199" s="3"/>
      <c r="L199" s="3"/>
      <c r="M199" s="3"/>
      <c r="N199" s="3"/>
    </row>
    <row r="200" spans="1:14" ht="16.5">
      <c r="A200" s="18">
        <v>198</v>
      </c>
      <c r="B200" s="19" t="s">
        <v>751</v>
      </c>
      <c r="C200" s="19"/>
      <c r="D200" s="2" t="s">
        <v>24</v>
      </c>
      <c r="E200" s="2" t="s">
        <v>41</v>
      </c>
      <c r="F200" s="2">
        <f>EDU*4</f>
        <v>0</v>
      </c>
      <c r="G200" s="20" t="s">
        <v>350</v>
      </c>
      <c r="H200" s="13"/>
      <c r="I200" s="3"/>
      <c r="J200" s="13" t="s">
        <v>710</v>
      </c>
      <c r="K200" s="3"/>
      <c r="L200" s="3"/>
      <c r="M200" s="3"/>
      <c r="N200" s="3"/>
    </row>
    <row r="201" spans="1:14" ht="16.5">
      <c r="A201" s="14">
        <v>199</v>
      </c>
      <c r="B201" s="15" t="s">
        <v>752</v>
      </c>
      <c r="C201" s="15"/>
      <c r="D201" s="16" t="s">
        <v>85</v>
      </c>
      <c r="E201" s="17" t="s">
        <v>134</v>
      </c>
      <c r="F201" s="17">
        <f>EDU*2+DEX*2</f>
        <v>0</v>
      </c>
      <c r="G201" s="79" t="s">
        <v>753</v>
      </c>
      <c r="H201" s="13"/>
      <c r="I201" s="3"/>
      <c r="J201" s="13" t="s">
        <v>710</v>
      </c>
      <c r="K201" s="3"/>
      <c r="L201" s="3"/>
      <c r="M201" s="3"/>
      <c r="N201" s="3"/>
    </row>
    <row r="202" spans="1:14" ht="16.5">
      <c r="A202" s="18">
        <v>200</v>
      </c>
      <c r="B202" s="19" t="s">
        <v>754</v>
      </c>
      <c r="C202" s="19"/>
      <c r="D202" s="2" t="s">
        <v>121</v>
      </c>
      <c r="E202" s="2" t="s">
        <v>41</v>
      </c>
      <c r="F202" s="2">
        <f>EDU*4</f>
        <v>0</v>
      </c>
      <c r="G202" s="20" t="s">
        <v>755</v>
      </c>
      <c r="H202" s="13"/>
      <c r="I202" s="3"/>
      <c r="J202" s="13" t="s">
        <v>710</v>
      </c>
      <c r="K202" s="3"/>
      <c r="L202" s="3"/>
      <c r="M202" s="3"/>
      <c r="N202" s="3"/>
    </row>
    <row r="203" spans="1:14" ht="16.5">
      <c r="A203" s="14">
        <v>201</v>
      </c>
      <c r="B203" s="15" t="s">
        <v>756</v>
      </c>
      <c r="C203" s="15"/>
      <c r="D203" s="16" t="s">
        <v>85</v>
      </c>
      <c r="E203" s="17" t="s">
        <v>35</v>
      </c>
      <c r="F203" s="17">
        <f>EDU*2+MAX(STR*2,DEX*2)</f>
        <v>0</v>
      </c>
      <c r="G203" s="79" t="s">
        <v>479</v>
      </c>
      <c r="H203" s="13"/>
      <c r="I203" s="3"/>
      <c r="J203" s="13" t="s">
        <v>710</v>
      </c>
      <c r="K203" s="3"/>
      <c r="L203" s="3"/>
      <c r="M203" s="3"/>
      <c r="N203" s="3"/>
    </row>
    <row r="204" spans="1:14" ht="16.5">
      <c r="A204" s="18">
        <v>202</v>
      </c>
      <c r="B204" s="19" t="s">
        <v>757</v>
      </c>
      <c r="C204" s="19"/>
      <c r="D204" s="2" t="s">
        <v>758</v>
      </c>
      <c r="E204" s="2" t="s">
        <v>41</v>
      </c>
      <c r="F204" s="2">
        <f>EDU*4</f>
        <v>0</v>
      </c>
      <c r="G204" s="20" t="s">
        <v>759</v>
      </c>
      <c r="H204" s="13"/>
      <c r="I204" s="3"/>
      <c r="J204" s="13" t="s">
        <v>710</v>
      </c>
      <c r="K204" s="3"/>
      <c r="L204" s="3"/>
      <c r="M204" s="3"/>
      <c r="N204" s="3"/>
    </row>
    <row r="205" spans="1:14" ht="16.5">
      <c r="A205" s="14">
        <v>203</v>
      </c>
      <c r="B205" s="15" t="s">
        <v>760</v>
      </c>
      <c r="C205" s="15"/>
      <c r="D205" s="16" t="s">
        <v>85</v>
      </c>
      <c r="E205" s="17" t="s">
        <v>35</v>
      </c>
      <c r="F205" s="17">
        <f>EDU*2+MAX(STR*2,DEX*2)</f>
        <v>0</v>
      </c>
      <c r="G205" s="79" t="s">
        <v>761</v>
      </c>
      <c r="H205" s="13"/>
      <c r="I205" s="3"/>
      <c r="J205" s="13" t="s">
        <v>710</v>
      </c>
      <c r="K205" s="3"/>
      <c r="L205" s="3"/>
      <c r="M205" s="3"/>
      <c r="N205" s="3"/>
    </row>
    <row r="206" spans="1:14" ht="17.25" thickBot="1">
      <c r="A206" s="22">
        <v>204</v>
      </c>
      <c r="B206" s="23" t="s">
        <v>762</v>
      </c>
      <c r="C206" s="23"/>
      <c r="D206" s="24" t="s">
        <v>18</v>
      </c>
      <c r="E206" s="24" t="s">
        <v>41</v>
      </c>
      <c r="F206" s="24">
        <f>EDU*4</f>
        <v>0</v>
      </c>
      <c r="G206" s="25" t="s">
        <v>763</v>
      </c>
      <c r="H206" s="13"/>
      <c r="I206" s="3"/>
      <c r="J206" s="13" t="s">
        <v>710</v>
      </c>
      <c r="K206" s="3"/>
      <c r="L206" s="3"/>
      <c r="M206" s="3"/>
      <c r="N206" s="3"/>
    </row>
    <row r="207" spans="1:14" ht="16.5">
      <c r="A207" s="42">
        <v>205</v>
      </c>
      <c r="B207" s="43" t="s">
        <v>764</v>
      </c>
      <c r="C207" s="43"/>
      <c r="D207" s="44" t="s">
        <v>85</v>
      </c>
      <c r="E207" s="44" t="s">
        <v>25</v>
      </c>
      <c r="F207" s="11">
        <f>EDU*2+APP*2</f>
        <v>0</v>
      </c>
      <c r="G207" s="93" t="s">
        <v>765</v>
      </c>
      <c r="H207" s="13"/>
      <c r="I207" s="3"/>
      <c r="J207" s="13" t="s">
        <v>766</v>
      </c>
      <c r="K207" s="3"/>
      <c r="L207" s="3"/>
      <c r="M207" s="3"/>
      <c r="N207" s="3"/>
    </row>
    <row r="208" spans="1:14" ht="16.5">
      <c r="A208" s="45">
        <v>206</v>
      </c>
      <c r="B208" s="46" t="s">
        <v>767</v>
      </c>
      <c r="C208" s="46"/>
      <c r="D208" s="16" t="s">
        <v>139</v>
      </c>
      <c r="E208" s="16" t="s">
        <v>41</v>
      </c>
      <c r="F208" s="17">
        <f>EDU*4</f>
        <v>0</v>
      </c>
      <c r="G208" s="94" t="s">
        <v>768</v>
      </c>
      <c r="H208" s="13"/>
      <c r="I208" s="3"/>
      <c r="J208" s="13" t="s">
        <v>766</v>
      </c>
      <c r="K208" s="3"/>
      <c r="L208" s="3"/>
      <c r="M208" s="3"/>
      <c r="N208" s="3"/>
    </row>
    <row r="209" spans="1:14" ht="16.5">
      <c r="A209" s="47">
        <v>207</v>
      </c>
      <c r="B209" s="48" t="s">
        <v>769</v>
      </c>
      <c r="C209" s="48"/>
      <c r="D209" s="49" t="s">
        <v>770</v>
      </c>
      <c r="E209" s="49" t="s">
        <v>749</v>
      </c>
      <c r="F209" s="2">
        <f>EDU*2+MAX(EDU*2,APP*2)</f>
        <v>0</v>
      </c>
      <c r="G209" s="50" t="s">
        <v>771</v>
      </c>
      <c r="H209" s="13"/>
      <c r="I209" s="3"/>
      <c r="J209" s="13" t="s">
        <v>766</v>
      </c>
      <c r="K209" s="3"/>
      <c r="L209" s="3"/>
      <c r="M209" s="3"/>
      <c r="N209" s="3"/>
    </row>
    <row r="210" spans="1:14" ht="16.5">
      <c r="A210" s="45">
        <v>208</v>
      </c>
      <c r="B210" s="46" t="s">
        <v>68</v>
      </c>
      <c r="C210" s="46"/>
      <c r="D210" s="16" t="s">
        <v>46</v>
      </c>
      <c r="E210" s="16" t="s">
        <v>70</v>
      </c>
      <c r="F210" s="17">
        <f>EDU*2+MAX(DEX*2,POW*2)</f>
        <v>0</v>
      </c>
      <c r="G210" s="94" t="s">
        <v>772</v>
      </c>
      <c r="H210" s="13"/>
      <c r="I210" s="3"/>
      <c r="J210" s="13" t="s">
        <v>766</v>
      </c>
      <c r="K210" s="3"/>
      <c r="L210" s="3"/>
      <c r="M210" s="3"/>
      <c r="N210" s="3"/>
    </row>
    <row r="211" spans="1:14" ht="16.5">
      <c r="A211" s="47">
        <v>209</v>
      </c>
      <c r="B211" s="48" t="s">
        <v>773</v>
      </c>
      <c r="C211" s="48"/>
      <c r="D211" s="49" t="s">
        <v>46</v>
      </c>
      <c r="E211" s="49" t="s">
        <v>41</v>
      </c>
      <c r="F211" s="2">
        <f>EDU*4</f>
        <v>0</v>
      </c>
      <c r="G211" s="50" t="s">
        <v>774</v>
      </c>
      <c r="H211" s="13"/>
      <c r="I211" s="3"/>
      <c r="J211" s="13" t="s">
        <v>766</v>
      </c>
      <c r="K211" s="3"/>
      <c r="L211" s="3"/>
      <c r="M211" s="3"/>
      <c r="N211" s="3"/>
    </row>
    <row r="212" spans="1:14" ht="16.5">
      <c r="A212" s="45">
        <v>210</v>
      </c>
      <c r="B212" s="46" t="s">
        <v>775</v>
      </c>
      <c r="C212" s="46"/>
      <c r="D212" s="16" t="s">
        <v>191</v>
      </c>
      <c r="E212" s="16" t="s">
        <v>134</v>
      </c>
      <c r="F212" s="17">
        <f>EDU*2+DEX*2</f>
        <v>0</v>
      </c>
      <c r="G212" s="94" t="s">
        <v>776</v>
      </c>
      <c r="H212" s="13"/>
      <c r="I212" s="3"/>
      <c r="J212" s="13" t="s">
        <v>766</v>
      </c>
      <c r="K212" s="3"/>
      <c r="L212" s="3"/>
      <c r="M212" s="3"/>
      <c r="N212" s="3"/>
    </row>
    <row r="213" spans="1:14" ht="16.5">
      <c r="A213" s="47">
        <v>211</v>
      </c>
      <c r="B213" s="48" t="s">
        <v>777</v>
      </c>
      <c r="C213" s="48"/>
      <c r="D213" s="49" t="s">
        <v>778</v>
      </c>
      <c r="E213" s="49" t="s">
        <v>47</v>
      </c>
      <c r="F213" s="2">
        <f>EDU*2+MAX(APP*2,POW*2)</f>
        <v>0</v>
      </c>
      <c r="G213" s="50" t="s">
        <v>779</v>
      </c>
      <c r="H213" s="13"/>
      <c r="I213" s="3"/>
      <c r="J213" s="13" t="s">
        <v>766</v>
      </c>
      <c r="K213" s="3"/>
      <c r="L213" s="3"/>
      <c r="M213" s="3"/>
      <c r="N213" s="3"/>
    </row>
    <row r="214" spans="1:14" ht="16.5">
      <c r="A214" s="45">
        <v>212</v>
      </c>
      <c r="B214" s="46" t="s">
        <v>780</v>
      </c>
      <c r="C214" s="46"/>
      <c r="D214" s="16" t="s">
        <v>40</v>
      </c>
      <c r="E214" s="16" t="s">
        <v>41</v>
      </c>
      <c r="F214" s="17">
        <f>EDU*4</f>
        <v>0</v>
      </c>
      <c r="G214" s="94" t="s">
        <v>781</v>
      </c>
      <c r="H214" s="13"/>
      <c r="I214" s="3"/>
      <c r="J214" s="13" t="s">
        <v>766</v>
      </c>
      <c r="K214" s="3"/>
      <c r="L214" s="3"/>
      <c r="M214" s="3"/>
      <c r="N214" s="3"/>
    </row>
    <row r="215" spans="1:14" ht="16.5">
      <c r="A215" s="47">
        <v>213</v>
      </c>
      <c r="B215" s="48" t="s">
        <v>133</v>
      </c>
      <c r="C215" s="48"/>
      <c r="D215" s="49" t="s">
        <v>345</v>
      </c>
      <c r="E215" s="49" t="s">
        <v>35</v>
      </c>
      <c r="F215" s="2">
        <f>EDU*2+MAX(STR*2,DEX*2)</f>
        <v>0</v>
      </c>
      <c r="G215" s="50" t="s">
        <v>782</v>
      </c>
      <c r="H215" s="13"/>
      <c r="I215" s="3"/>
      <c r="J215" s="13" t="s">
        <v>766</v>
      </c>
      <c r="K215" s="3"/>
      <c r="L215" s="3"/>
      <c r="M215" s="3"/>
      <c r="N215" s="3"/>
    </row>
    <row r="216" spans="1:14" ht="16.5">
      <c r="A216" s="45">
        <v>214</v>
      </c>
      <c r="B216" s="46" t="s">
        <v>783</v>
      </c>
      <c r="C216" s="46"/>
      <c r="D216" s="16" t="s">
        <v>85</v>
      </c>
      <c r="E216" s="16" t="s">
        <v>223</v>
      </c>
      <c r="F216" s="17">
        <f>EDU*2+MAX(DEX*2,APP*2,STR*2)</f>
        <v>0</v>
      </c>
      <c r="G216" s="94" t="s">
        <v>784</v>
      </c>
      <c r="H216" s="13"/>
      <c r="I216" s="3"/>
      <c r="J216" s="13" t="s">
        <v>766</v>
      </c>
      <c r="K216" s="3"/>
      <c r="L216" s="3"/>
      <c r="M216" s="3"/>
      <c r="N216" s="3"/>
    </row>
    <row r="217" spans="1:14" ht="16.5">
      <c r="A217" s="47">
        <v>215</v>
      </c>
      <c r="B217" s="48" t="s">
        <v>785</v>
      </c>
      <c r="C217" s="48"/>
      <c r="D217" s="49" t="s">
        <v>121</v>
      </c>
      <c r="E217" s="49" t="s">
        <v>25</v>
      </c>
      <c r="F217" s="2">
        <f>EDU*2+APP*2</f>
        <v>0</v>
      </c>
      <c r="G217" s="50" t="s">
        <v>786</v>
      </c>
      <c r="H217" s="13"/>
      <c r="I217" s="3"/>
      <c r="J217" s="13" t="s">
        <v>766</v>
      </c>
      <c r="K217" s="3"/>
      <c r="L217" s="3"/>
      <c r="M217" s="3"/>
      <c r="N217" s="3"/>
    </row>
    <row r="218" spans="1:14" ht="16.5">
      <c r="A218" s="45">
        <v>216</v>
      </c>
      <c r="B218" s="46" t="s">
        <v>253</v>
      </c>
      <c r="C218" s="46"/>
      <c r="D218" s="16" t="s">
        <v>46</v>
      </c>
      <c r="E218" s="16" t="s">
        <v>47</v>
      </c>
      <c r="F218" s="17">
        <f>EDU*2+MAX(APP*2,POW*2)</f>
        <v>0</v>
      </c>
      <c r="G218" s="94" t="s">
        <v>787</v>
      </c>
      <c r="H218" s="13"/>
      <c r="I218" s="3"/>
      <c r="J218" s="13" t="s">
        <v>766</v>
      </c>
      <c r="K218" s="3"/>
      <c r="L218" s="3"/>
      <c r="M218" s="3"/>
      <c r="N218" s="3"/>
    </row>
    <row r="219" spans="1:14" ht="16.5">
      <c r="A219" s="47">
        <v>217</v>
      </c>
      <c r="B219" s="48" t="s">
        <v>788</v>
      </c>
      <c r="C219" s="48"/>
      <c r="D219" s="49" t="s">
        <v>789</v>
      </c>
      <c r="E219" s="49" t="s">
        <v>41</v>
      </c>
      <c r="F219" s="2">
        <f>EDU*4</f>
        <v>0</v>
      </c>
      <c r="G219" s="50" t="s">
        <v>790</v>
      </c>
      <c r="H219" s="13"/>
      <c r="I219" s="3"/>
      <c r="J219" s="13" t="s">
        <v>766</v>
      </c>
      <c r="K219" s="3"/>
      <c r="L219" s="3"/>
      <c r="M219" s="3"/>
      <c r="N219" s="3"/>
    </row>
    <row r="220" spans="1:14" ht="16.5">
      <c r="A220" s="45">
        <v>218</v>
      </c>
      <c r="B220" s="46" t="s">
        <v>791</v>
      </c>
      <c r="C220" s="46"/>
      <c r="D220" s="16" t="s">
        <v>792</v>
      </c>
      <c r="E220" s="16" t="s">
        <v>223</v>
      </c>
      <c r="F220" s="17">
        <f>EDU*2+MAX(DEX*2,APP*2,STR*2)</f>
        <v>0</v>
      </c>
      <c r="G220" s="94" t="s">
        <v>793</v>
      </c>
      <c r="H220" s="13"/>
      <c r="I220" s="3"/>
      <c r="J220" s="13" t="s">
        <v>766</v>
      </c>
      <c r="K220" s="3"/>
      <c r="L220" s="3"/>
      <c r="M220" s="3"/>
      <c r="N220" s="3"/>
    </row>
    <row r="221" spans="1:14" ht="16.5">
      <c r="A221" s="47">
        <v>219</v>
      </c>
      <c r="B221" s="48" t="s">
        <v>422</v>
      </c>
      <c r="C221" s="48"/>
      <c r="D221" s="49" t="s">
        <v>24</v>
      </c>
      <c r="E221" s="49" t="s">
        <v>303</v>
      </c>
      <c r="F221" s="2">
        <f>EDU*2+MAX(DEX*2,APP*2)</f>
        <v>0</v>
      </c>
      <c r="G221" s="50" t="s">
        <v>794</v>
      </c>
      <c r="H221" s="13"/>
      <c r="I221" s="3"/>
      <c r="J221" s="13" t="s">
        <v>766</v>
      </c>
      <c r="K221" s="3"/>
      <c r="L221" s="3"/>
      <c r="M221" s="3"/>
      <c r="N221" s="3"/>
    </row>
    <row r="222" spans="1:14" ht="16.5">
      <c r="A222" s="45">
        <v>220</v>
      </c>
      <c r="B222" s="46" t="s">
        <v>795</v>
      </c>
      <c r="C222" s="46"/>
      <c r="D222" s="16" t="s">
        <v>85</v>
      </c>
      <c r="E222" s="16" t="s">
        <v>303</v>
      </c>
      <c r="F222" s="17">
        <f>EDU*2+MAX(DEX*2,APP*2)</f>
        <v>0</v>
      </c>
      <c r="G222" s="94" t="s">
        <v>796</v>
      </c>
      <c r="H222" s="13"/>
      <c r="I222" s="3"/>
      <c r="J222" s="13" t="s">
        <v>766</v>
      </c>
      <c r="K222" s="3"/>
      <c r="L222" s="3"/>
      <c r="M222" s="3"/>
      <c r="N222" s="3"/>
    </row>
    <row r="223" spans="1:14" ht="16.5">
      <c r="A223" s="47">
        <v>221</v>
      </c>
      <c r="B223" s="48" t="s">
        <v>797</v>
      </c>
      <c r="C223" s="48"/>
      <c r="D223" s="49" t="s">
        <v>431</v>
      </c>
      <c r="E223" s="49" t="s">
        <v>110</v>
      </c>
      <c r="F223" s="2">
        <f>EDU*2+STR*2</f>
        <v>0</v>
      </c>
      <c r="G223" s="50" t="s">
        <v>798</v>
      </c>
      <c r="H223" s="13"/>
      <c r="I223" s="3"/>
      <c r="J223" s="13" t="s">
        <v>766</v>
      </c>
      <c r="K223" s="3"/>
      <c r="L223" s="95"/>
      <c r="M223" s="95"/>
      <c r="N223" s="95"/>
    </row>
    <row r="224" spans="1:14" ht="16.5">
      <c r="A224" s="45">
        <v>222</v>
      </c>
      <c r="B224" s="46" t="s">
        <v>340</v>
      </c>
      <c r="C224" s="46"/>
      <c r="D224" s="16" t="s">
        <v>517</v>
      </c>
      <c r="E224" s="16" t="s">
        <v>41</v>
      </c>
      <c r="F224" s="17">
        <f>EDU*4</f>
        <v>0</v>
      </c>
      <c r="G224" s="94" t="s">
        <v>799</v>
      </c>
      <c r="H224" s="13"/>
      <c r="I224" s="3"/>
      <c r="J224" s="13" t="s">
        <v>766</v>
      </c>
      <c r="K224" s="3"/>
      <c r="L224" s="95"/>
      <c r="M224" s="95"/>
      <c r="N224" s="95"/>
    </row>
    <row r="225" spans="1:14" ht="16.5">
      <c r="A225" s="47">
        <v>223</v>
      </c>
      <c r="B225" s="48" t="s">
        <v>800</v>
      </c>
      <c r="C225" s="48"/>
      <c r="D225" s="49" t="s">
        <v>12</v>
      </c>
      <c r="E225" s="49" t="s">
        <v>41</v>
      </c>
      <c r="F225" s="2">
        <f>EDU*4</f>
        <v>0</v>
      </c>
      <c r="G225" s="50" t="s">
        <v>801</v>
      </c>
      <c r="H225" s="13"/>
      <c r="I225" s="3"/>
      <c r="J225" s="13" t="s">
        <v>766</v>
      </c>
      <c r="K225" s="3"/>
      <c r="L225" s="3"/>
      <c r="M225" s="3"/>
      <c r="N225" s="3"/>
    </row>
    <row r="226" spans="1:14" ht="16.5">
      <c r="A226" s="45">
        <v>224</v>
      </c>
      <c r="B226" s="46" t="s">
        <v>802</v>
      </c>
      <c r="C226" s="46"/>
      <c r="D226" s="16" t="s">
        <v>85</v>
      </c>
      <c r="E226" s="16" t="s">
        <v>35</v>
      </c>
      <c r="F226" s="17">
        <f>EDU*2+MAX(STR*2,DEX*2)</f>
        <v>0</v>
      </c>
      <c r="G226" s="94" t="s">
        <v>803</v>
      </c>
      <c r="H226" s="13"/>
      <c r="I226" s="3"/>
      <c r="J226" s="13" t="s">
        <v>766</v>
      </c>
      <c r="K226" s="3"/>
      <c r="L226" s="3"/>
      <c r="M226" s="3"/>
      <c r="N226" s="3"/>
    </row>
    <row r="227" spans="1:14" ht="16.5">
      <c r="A227" s="47">
        <v>225</v>
      </c>
      <c r="B227" s="48" t="s">
        <v>804</v>
      </c>
      <c r="C227" s="48"/>
      <c r="D227" s="49" t="s">
        <v>95</v>
      </c>
      <c r="E227" s="49" t="s">
        <v>41</v>
      </c>
      <c r="F227" s="2">
        <f>EDU*4</f>
        <v>0</v>
      </c>
      <c r="G227" s="50" t="s">
        <v>805</v>
      </c>
      <c r="H227" s="13"/>
      <c r="I227" s="3"/>
      <c r="J227" s="13" t="s">
        <v>766</v>
      </c>
      <c r="K227" s="3"/>
      <c r="L227" s="3"/>
      <c r="M227" s="3"/>
      <c r="N227" s="3"/>
    </row>
    <row r="228" spans="1:14" ht="16.5">
      <c r="A228" s="45">
        <v>226</v>
      </c>
      <c r="B228" s="46" t="s">
        <v>465</v>
      </c>
      <c r="C228" s="46"/>
      <c r="D228" s="16" t="s">
        <v>40</v>
      </c>
      <c r="E228" s="16" t="s">
        <v>41</v>
      </c>
      <c r="F228" s="17">
        <f>EDU*4</f>
        <v>0</v>
      </c>
      <c r="G228" s="94" t="s">
        <v>806</v>
      </c>
      <c r="H228" s="13"/>
      <c r="I228" s="3"/>
      <c r="J228" s="13" t="s">
        <v>766</v>
      </c>
      <c r="K228" s="3"/>
      <c r="L228" s="3"/>
      <c r="M228" s="3"/>
      <c r="N228" s="3"/>
    </row>
    <row r="229" spans="1:14" ht="16.5">
      <c r="A229" s="47">
        <v>227</v>
      </c>
      <c r="B229" s="48" t="s">
        <v>807</v>
      </c>
      <c r="C229" s="48"/>
      <c r="D229" s="49" t="s">
        <v>431</v>
      </c>
      <c r="E229" s="49" t="s">
        <v>303</v>
      </c>
      <c r="F229" s="2">
        <f>EDU*2+MAX(APP*2,DEX*2)</f>
        <v>0</v>
      </c>
      <c r="G229" s="50" t="s">
        <v>808</v>
      </c>
      <c r="H229" s="13"/>
      <c r="I229" s="3"/>
      <c r="J229" s="13" t="s">
        <v>766</v>
      </c>
      <c r="K229" s="3"/>
      <c r="L229" s="3"/>
      <c r="M229" s="3"/>
      <c r="N229" s="3"/>
    </row>
    <row r="230" spans="1:14" ht="16.5">
      <c r="A230" s="45">
        <v>228</v>
      </c>
      <c r="B230" s="46" t="s">
        <v>809</v>
      </c>
      <c r="C230" s="46"/>
      <c r="D230" s="16" t="s">
        <v>85</v>
      </c>
      <c r="E230" s="16" t="s">
        <v>303</v>
      </c>
      <c r="F230" s="17">
        <f>EDU*2+MAX(APP*2,DEX*2)</f>
        <v>0</v>
      </c>
      <c r="G230" s="94" t="s">
        <v>810</v>
      </c>
      <c r="H230" s="13"/>
      <c r="I230" s="3"/>
      <c r="J230" s="13" t="s">
        <v>766</v>
      </c>
      <c r="K230" s="3"/>
      <c r="L230" s="3"/>
      <c r="M230" s="3"/>
      <c r="N230" s="3"/>
    </row>
    <row r="231" spans="1:14" ht="16.5">
      <c r="A231" s="47">
        <v>229</v>
      </c>
      <c r="B231" s="48" t="s">
        <v>811</v>
      </c>
      <c r="C231" s="48"/>
      <c r="D231" s="49" t="s">
        <v>85</v>
      </c>
      <c r="E231" s="49" t="s">
        <v>35</v>
      </c>
      <c r="F231" s="2">
        <f>EDU*2+MAX(STR*2,DEX*2)</f>
        <v>0</v>
      </c>
      <c r="G231" s="50" t="s">
        <v>812</v>
      </c>
      <c r="H231" s="13"/>
      <c r="I231" s="3"/>
      <c r="J231" s="13" t="s">
        <v>766</v>
      </c>
      <c r="K231" s="3"/>
      <c r="L231" s="3"/>
      <c r="M231" s="3"/>
      <c r="N231" s="3"/>
    </row>
    <row r="232" spans="1:14" ht="17.25" thickBot="1">
      <c r="A232" s="51">
        <v>230</v>
      </c>
      <c r="B232" s="52" t="s">
        <v>813</v>
      </c>
      <c r="C232" s="52"/>
      <c r="D232" s="40" t="s">
        <v>12</v>
      </c>
      <c r="E232" s="76" t="s">
        <v>186</v>
      </c>
      <c r="F232" s="77">
        <f>EDU*2+MAX(APP*2,DEX*2)</f>
        <v>0</v>
      </c>
      <c r="G232" s="96" t="s">
        <v>814</v>
      </c>
      <c r="H232" s="13"/>
      <c r="I232" s="3"/>
      <c r="J232" s="13" t="s">
        <v>766</v>
      </c>
      <c r="K232" s="3"/>
      <c r="L232" s="3"/>
      <c r="M232" s="3"/>
      <c r="N232" s="3"/>
    </row>
  </sheetData>
  <mergeCells count="361">
    <mergeCell ref="B227:C227"/>
    <mergeCell ref="B228:C228"/>
    <mergeCell ref="B229:C229"/>
    <mergeCell ref="B230:C230"/>
    <mergeCell ref="B231:C231"/>
    <mergeCell ref="B232:C232"/>
    <mergeCell ref="B222:C222"/>
    <mergeCell ref="B223:C223"/>
    <mergeCell ref="L223:N224"/>
    <mergeCell ref="B224:C224"/>
    <mergeCell ref="B225:C225"/>
    <mergeCell ref="B226:C226"/>
    <mergeCell ref="B216:C216"/>
    <mergeCell ref="B217:C217"/>
    <mergeCell ref="B218:C218"/>
    <mergeCell ref="B219:C219"/>
    <mergeCell ref="B220:C220"/>
    <mergeCell ref="B221:C221"/>
    <mergeCell ref="B212:C212"/>
    <mergeCell ref="B213:C213"/>
    <mergeCell ref="B214:C214"/>
    <mergeCell ref="B215:C215"/>
    <mergeCell ref="B203:C203"/>
    <mergeCell ref="B204:C204"/>
    <mergeCell ref="B205:C205"/>
    <mergeCell ref="B206:C206"/>
    <mergeCell ref="B207:C207"/>
    <mergeCell ref="B208:C208"/>
    <mergeCell ref="B209:C209"/>
    <mergeCell ref="B210:C210"/>
    <mergeCell ref="B211:C211"/>
    <mergeCell ref="B197:C197"/>
    <mergeCell ref="B198:C198"/>
    <mergeCell ref="B199:C199"/>
    <mergeCell ref="B200:C200"/>
    <mergeCell ref="B201:C201"/>
    <mergeCell ref="B202:C202"/>
    <mergeCell ref="B191:C191"/>
    <mergeCell ref="B192:C192"/>
    <mergeCell ref="B193:C193"/>
    <mergeCell ref="B194:C194"/>
    <mergeCell ref="B195:C195"/>
    <mergeCell ref="B196:C196"/>
    <mergeCell ref="B185:C185"/>
    <mergeCell ref="B186:C186"/>
    <mergeCell ref="B187:C187"/>
    <mergeCell ref="B188:C188"/>
    <mergeCell ref="B189:C189"/>
    <mergeCell ref="B190:C190"/>
    <mergeCell ref="B180:C180"/>
    <mergeCell ref="B181:C181"/>
    <mergeCell ref="B182:C182"/>
    <mergeCell ref="B183:C183"/>
    <mergeCell ref="B184:C184"/>
    <mergeCell ref="B176:C176"/>
    <mergeCell ref="L176:N179"/>
    <mergeCell ref="B177:C177"/>
    <mergeCell ref="B178:C178"/>
    <mergeCell ref="B179:C179"/>
    <mergeCell ref="B169:C169"/>
    <mergeCell ref="L169:N170"/>
    <mergeCell ref="B170:C170"/>
    <mergeCell ref="B171:C171"/>
    <mergeCell ref="L171:N172"/>
    <mergeCell ref="B172:C172"/>
    <mergeCell ref="B173:C173"/>
    <mergeCell ref="B174:C174"/>
    <mergeCell ref="B175:C175"/>
    <mergeCell ref="B165:C165"/>
    <mergeCell ref="L165:M165"/>
    <mergeCell ref="B166:C166"/>
    <mergeCell ref="L166:N168"/>
    <mergeCell ref="B167:C167"/>
    <mergeCell ref="B168:C168"/>
    <mergeCell ref="L161:M161"/>
    <mergeCell ref="B162:C162"/>
    <mergeCell ref="L162:M162"/>
    <mergeCell ref="B163:C163"/>
    <mergeCell ref="L163:M163"/>
    <mergeCell ref="B164:C164"/>
    <mergeCell ref="L164:M164"/>
    <mergeCell ref="B157:C157"/>
    <mergeCell ref="L157:M157"/>
    <mergeCell ref="B158:C158"/>
    <mergeCell ref="L158:M158"/>
    <mergeCell ref="B159:C159"/>
    <mergeCell ref="L159:M159"/>
    <mergeCell ref="B160:C160"/>
    <mergeCell ref="L160:M160"/>
    <mergeCell ref="B161:C161"/>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3:C123"/>
    <mergeCell ref="B124:C124"/>
    <mergeCell ref="B125:C125"/>
    <mergeCell ref="B126:C126"/>
    <mergeCell ref="B116:C116"/>
    <mergeCell ref="H116:I116"/>
    <mergeCell ref="B117:C117"/>
    <mergeCell ref="H117:I117"/>
    <mergeCell ref="B118:C118"/>
    <mergeCell ref="B119:C119"/>
    <mergeCell ref="B120:C120"/>
    <mergeCell ref="B121:C121"/>
    <mergeCell ref="B122:C122"/>
    <mergeCell ref="B113:C113"/>
    <mergeCell ref="H113:I113"/>
    <mergeCell ref="B114:C114"/>
    <mergeCell ref="H114:I114"/>
    <mergeCell ref="B115:C115"/>
    <mergeCell ref="H115:I115"/>
    <mergeCell ref="B110:C110"/>
    <mergeCell ref="H110:I110"/>
    <mergeCell ref="B111:C111"/>
    <mergeCell ref="H111:I111"/>
    <mergeCell ref="B112:C112"/>
    <mergeCell ref="H112:I112"/>
    <mergeCell ref="B107:C107"/>
    <mergeCell ref="H107:I107"/>
    <mergeCell ref="B108:C108"/>
    <mergeCell ref="H108:I108"/>
    <mergeCell ref="B109:C109"/>
    <mergeCell ref="H109:I109"/>
    <mergeCell ref="B104:C104"/>
    <mergeCell ref="H104:I104"/>
    <mergeCell ref="B105:C105"/>
    <mergeCell ref="H105:I105"/>
    <mergeCell ref="B106:C106"/>
    <mergeCell ref="H106:I106"/>
    <mergeCell ref="B101:C101"/>
    <mergeCell ref="H101:I101"/>
    <mergeCell ref="B102:C102"/>
    <mergeCell ref="H102:I102"/>
    <mergeCell ref="B103:C103"/>
    <mergeCell ref="H103:I103"/>
    <mergeCell ref="B98:C98"/>
    <mergeCell ref="H98:I98"/>
    <mergeCell ref="B99:C99"/>
    <mergeCell ref="H99:I99"/>
    <mergeCell ref="B100:C100"/>
    <mergeCell ref="H100:I100"/>
    <mergeCell ref="B95:C95"/>
    <mergeCell ref="H95:I95"/>
    <mergeCell ref="B96:C96"/>
    <mergeCell ref="H96:I96"/>
    <mergeCell ref="B97:C97"/>
    <mergeCell ref="H97:I97"/>
    <mergeCell ref="B92:C92"/>
    <mergeCell ref="H92:I92"/>
    <mergeCell ref="B93:C93"/>
    <mergeCell ref="H93:I93"/>
    <mergeCell ref="B94:C94"/>
    <mergeCell ref="H94:I94"/>
    <mergeCell ref="B89:C89"/>
    <mergeCell ref="H89:I89"/>
    <mergeCell ref="B90:C90"/>
    <mergeCell ref="H90:I90"/>
    <mergeCell ref="B91:C91"/>
    <mergeCell ref="H91:I91"/>
    <mergeCell ref="B86:C86"/>
    <mergeCell ref="H86:I86"/>
    <mergeCell ref="B87:C87"/>
    <mergeCell ref="H87:I87"/>
    <mergeCell ref="B88:C88"/>
    <mergeCell ref="H88:I88"/>
    <mergeCell ref="B83:C83"/>
    <mergeCell ref="H83:I83"/>
    <mergeCell ref="B84:C84"/>
    <mergeCell ref="H84:I84"/>
    <mergeCell ref="B85:C85"/>
    <mergeCell ref="H85:I85"/>
    <mergeCell ref="B80:C80"/>
    <mergeCell ref="H80:I80"/>
    <mergeCell ref="B81:C81"/>
    <mergeCell ref="H81:I81"/>
    <mergeCell ref="B82:C82"/>
    <mergeCell ref="H82:I82"/>
    <mergeCell ref="B77:C77"/>
    <mergeCell ref="H77:I77"/>
    <mergeCell ref="B78:C78"/>
    <mergeCell ref="H78:I78"/>
    <mergeCell ref="B79:C79"/>
    <mergeCell ref="H79:I79"/>
    <mergeCell ref="B74:C74"/>
    <mergeCell ref="H74:I74"/>
    <mergeCell ref="B75:C75"/>
    <mergeCell ref="H75:I75"/>
    <mergeCell ref="B76:C76"/>
    <mergeCell ref="H76:I76"/>
    <mergeCell ref="B71:C71"/>
    <mergeCell ref="H71:I71"/>
    <mergeCell ref="B72:C72"/>
    <mergeCell ref="H72:I72"/>
    <mergeCell ref="B73:C73"/>
    <mergeCell ref="H73:I73"/>
    <mergeCell ref="B68:C68"/>
    <mergeCell ref="H68:I68"/>
    <mergeCell ref="B69:C69"/>
    <mergeCell ref="H69:I69"/>
    <mergeCell ref="B70:C70"/>
    <mergeCell ref="H70:I70"/>
    <mergeCell ref="B65:C65"/>
    <mergeCell ref="H65:I65"/>
    <mergeCell ref="B66:C66"/>
    <mergeCell ref="H66:I66"/>
    <mergeCell ref="B67:C67"/>
    <mergeCell ref="H67:I67"/>
    <mergeCell ref="B62:C62"/>
    <mergeCell ref="H62:I62"/>
    <mergeCell ref="B63:C63"/>
    <mergeCell ref="H63:I63"/>
    <mergeCell ref="B64:C64"/>
    <mergeCell ref="H64:I64"/>
    <mergeCell ref="B59:C59"/>
    <mergeCell ref="H59:I59"/>
    <mergeCell ref="B60:C60"/>
    <mergeCell ref="H60:I60"/>
    <mergeCell ref="B61:C61"/>
    <mergeCell ref="H61:I61"/>
    <mergeCell ref="B56:C56"/>
    <mergeCell ref="H56:I56"/>
    <mergeCell ref="B57:C57"/>
    <mergeCell ref="H57:I57"/>
    <mergeCell ref="B58:C58"/>
    <mergeCell ref="H58:I58"/>
    <mergeCell ref="B53:C53"/>
    <mergeCell ref="H53:I53"/>
    <mergeCell ref="B54:C54"/>
    <mergeCell ref="H54:I54"/>
    <mergeCell ref="B55:C55"/>
    <mergeCell ref="H55:I55"/>
    <mergeCell ref="B50:C50"/>
    <mergeCell ref="H50:I50"/>
    <mergeCell ref="B51:C51"/>
    <mergeCell ref="H51:I51"/>
    <mergeCell ref="B52:C52"/>
    <mergeCell ref="H52:I52"/>
    <mergeCell ref="B47:C47"/>
    <mergeCell ref="H47:I47"/>
    <mergeCell ref="B48:C48"/>
    <mergeCell ref="H48:I48"/>
    <mergeCell ref="B49:C49"/>
    <mergeCell ref="H49:I49"/>
    <mergeCell ref="B44:C44"/>
    <mergeCell ref="H44:I44"/>
    <mergeCell ref="B45:C45"/>
    <mergeCell ref="H45:I45"/>
    <mergeCell ref="B46:C46"/>
    <mergeCell ref="H46:I46"/>
    <mergeCell ref="B41:C41"/>
    <mergeCell ref="H41:I41"/>
    <mergeCell ref="B42:C42"/>
    <mergeCell ref="H42:I42"/>
    <mergeCell ref="B43:C43"/>
    <mergeCell ref="H43:I43"/>
    <mergeCell ref="B38:C38"/>
    <mergeCell ref="H38:I38"/>
    <mergeCell ref="B39:C39"/>
    <mergeCell ref="H39:I39"/>
    <mergeCell ref="B40:C40"/>
    <mergeCell ref="H40:I40"/>
    <mergeCell ref="B35:C35"/>
    <mergeCell ref="H35:I35"/>
    <mergeCell ref="B36:C36"/>
    <mergeCell ref="H36:I36"/>
    <mergeCell ref="B37:C37"/>
    <mergeCell ref="H37:I37"/>
    <mergeCell ref="B32:C32"/>
    <mergeCell ref="H32:I32"/>
    <mergeCell ref="B33:C33"/>
    <mergeCell ref="H33:I33"/>
    <mergeCell ref="B34:C34"/>
    <mergeCell ref="H34:I34"/>
    <mergeCell ref="B29:C29"/>
    <mergeCell ref="H29:I29"/>
    <mergeCell ref="B30:C30"/>
    <mergeCell ref="H30:I30"/>
    <mergeCell ref="B31:C31"/>
    <mergeCell ref="H31:I31"/>
    <mergeCell ref="B26:C26"/>
    <mergeCell ref="H26:I26"/>
    <mergeCell ref="B27:C27"/>
    <mergeCell ref="H27:I27"/>
    <mergeCell ref="B28:C28"/>
    <mergeCell ref="H28:I28"/>
    <mergeCell ref="B23:C23"/>
    <mergeCell ref="H23:I23"/>
    <mergeCell ref="B24:C24"/>
    <mergeCell ref="B25:C25"/>
    <mergeCell ref="H25:I25"/>
    <mergeCell ref="B20:C20"/>
    <mergeCell ref="H20:I20"/>
    <mergeCell ref="B21:C21"/>
    <mergeCell ref="H21:I21"/>
    <mergeCell ref="B22:C22"/>
    <mergeCell ref="H22:I22"/>
    <mergeCell ref="B17:C17"/>
    <mergeCell ref="H17:I17"/>
    <mergeCell ref="B18:C18"/>
    <mergeCell ref="H18:I18"/>
    <mergeCell ref="B19:C19"/>
    <mergeCell ref="H19:I19"/>
    <mergeCell ref="B14:C14"/>
    <mergeCell ref="H14:I14"/>
    <mergeCell ref="B15:C15"/>
    <mergeCell ref="H15:I15"/>
    <mergeCell ref="B16:C16"/>
    <mergeCell ref="H16:I16"/>
    <mergeCell ref="B11:C11"/>
    <mergeCell ref="H11:I11"/>
    <mergeCell ref="B12:C12"/>
    <mergeCell ref="H12:I12"/>
    <mergeCell ref="B13:C13"/>
    <mergeCell ref="H13:I13"/>
    <mergeCell ref="B9:C9"/>
    <mergeCell ref="H9:I9"/>
    <mergeCell ref="B10:C10"/>
    <mergeCell ref="H10:I10"/>
    <mergeCell ref="B7:C7"/>
    <mergeCell ref="H7:I7"/>
    <mergeCell ref="B8:C8"/>
    <mergeCell ref="H8:I8"/>
    <mergeCell ref="H4:I4"/>
    <mergeCell ref="B5:C5"/>
    <mergeCell ref="H5:I5"/>
    <mergeCell ref="B6:C6"/>
    <mergeCell ref="H6:I6"/>
    <mergeCell ref="B1:C1"/>
    <mergeCell ref="H1:I1"/>
    <mergeCell ref="J1:K1"/>
    <mergeCell ref="B2:G2"/>
    <mergeCell ref="H3:I3"/>
    <mergeCell ref="B4:C4"/>
  </mergeCells>
  <dataValidations count="119">
    <dataValidation allowBlank="1" showInputMessage="1" promptTitle="介绍" prompt="罪犯的体格和相貌形形色色，有些是纯粹碰运气伺机行事，比如扒手." sqref="B33:C33" xr:uid="{E25F9526-26E6-4909-AB53-B4103DE1F8C3}"/>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B85CE596-857A-4097-95E0-BA08204272FC}"/>
    <dataValidation allowBlank="1" showInputMessage="1" promptTitle="介绍" prompt="勤杂护工在医院的工作包括倒垃圾、打扫房间、运送病人，还有一些其他乱七八糟的工作。总之对他们的要求不比对看门人多多少。" sqref="B66:C66" xr:uid="{056A271E-76BD-4115-9683-06EBD417C84A}"/>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J2" xr:uid="{34399FB5-4D0D-411F-A7BF-2C651CD5561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72E592BB-3204-412F-9DDC-12AA42C13891}"/>
    <dataValidation allowBlank="1" showInputMessage="1" promptTitle="介绍" prompt="杂技演员可能是参加各级比赛（甚至奥运会）的业余运动员，也可能是专业的演员，在马戏团、嘉年华、歌舞团之类的地方作为娱乐业从业者工作。" sqref="B5" xr:uid="{4E33DA09-4723-4DB7-A973-3767A403EED5}"/>
    <dataValidation allowBlank="1" showInputMessage="1" promptTitle="介绍" prompt="有些则组成分工明确，会详细调查并制定计划的犯罪组织。" sqref="B31:C31" xr:uid="{F3B294E0-E776-479B-8786-3C0E25E1FCB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C0EB716-D3EB-4FFF-AC45-4C5F9829167A}"/>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0:C10" xr:uid="{6EA4DFF3-B41E-49AF-BC30-265EFE69EDE6}"/>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D78E0EB0-8051-4C20-A6B2-17E3F7EA2A7E}"/>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670A9B90-A2CB-4F7D-B67F-5574DC2CF62C}"/>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C2B30C0E-FCD6-4A4B-A71C-2BDAC5E6655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807E9820-AF71-4AEB-975D-B31C43965CDF}"/>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CE2287B2-510E-492A-B25A-3CA3BF5D2757}"/>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554A3654-E1F4-4CD0-8995-1B92E8BF112E}"/>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540F7F66-58B1-4240-8DA9-15B60231DB83}"/>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62D1F0C8-E350-40AA-850E-454684430081}"/>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17B90C0-0079-4629-83FA-3F0AC26E9DD2}"/>
    <dataValidation allowBlank="1" showInputMessage="1" promptTitle="介绍" prompt="古董商通常自己开店，从自己所在的地方转卖物品，或继续扩展业务范围，通过倒卖物品到城市商店赚取利润。" sqref="B12:C12" xr:uid="{00FD70A5-3D5D-4DC5-9280-82017428ED3D}"/>
    <dataValidation allowBlank="1" showInputMessage="1" showErrorMessage="1" promptTitle="Beast Training(05%)" prompt="用于命令、训练驯服动物进行简单任务的技能。这技能最常用在狗身上，但也不排除鸟、猫、猴子，或是其他（由Keeper 判定）。" sqref="K59" xr:uid="{67D81DC2-9599-4B07-9C20-B3E31B97C5F9}"/>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4A50E52E-5195-47D1-8DEE-858B0303FBA9}"/>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7700981F-D9DD-476C-B2D9-9709BD097BF8}"/>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D2DB41DE-F31D-46F6-B598-9A3B7865B88A}"/>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BE5B2510-C53D-45A8-98D1-89823BEF08DB}"/>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84327A20-8C36-4A95-BEF2-6E4585478297}"/>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1B9AFF67-21F6-4F7D-91BD-F1747B123F52}"/>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F174A481-71D9-4739-8EF4-1D649412BBB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E705A02A-98EA-4324-8588-07A8DC2C4860}"/>
    <dataValidation allowBlank="1" showInputMessage="1" promptTitle="介绍" prompt="也可能单打独斗，如果成功的报酬值得去费力冒险，才会和别人搭伙。" sqref="B35:C35" xr:uid="{1022B520-0B41-42FE-972D-26C924EE7944}"/>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2A7E8467-CF73-4789-A1D3-002F6A3A8593}"/>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5D3FCC1E-DC82-4D60-A3AC-686E2F858AAF}"/>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FE5F4C29-6118-4C61-9212-9FBF8468F04F}"/>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2EF36177-B9F3-40CF-86BA-C8FF68BA9E95}"/>
    <dataValidation allowBlank="1" showInputMessage="1" promptTitle="介绍" prompt="走私一直是一个有利可图的高风险行当。走私者往往有一个合法的表面职业，比如船长飞行员或商人，以掩盖他们非法运输的行为。" sqref="B39:C39" xr:uid="{CCF29BF6-04D9-447E-A212-A22D0B6A523A}"/>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65E3C059-90AE-49AC-8ABE-364B1A054D62}"/>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A1B4F800-3DB1-4183-85EE-B8A77955A0A4}"/>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67554642-CDB3-47E2-8C5A-725E7F812932}"/>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F6EB4B3B-2A7B-4C63-81E8-5DE302B751AA}"/>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8236596F-8ABC-44FD-BFEF-E71CF3F04434}"/>
    <dataValidation allowBlank="1" showInputMessage="1" promptTitle="介绍" prompt="饲养员负责动物的喂养和看护，场地管理员和服务员管理其他杂务。通常饲养员会专门照看某一种动物，可以对动物使用「医学」技能。" sqref="B117:C117" xr:uid="{09E790FA-BF09-46D7-B64B-3B316840DD7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498596-A45A-4117-ACCA-3638E0E49A09}"/>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AE0E27A-110A-46AB-AFC6-6E362477C37C}"/>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DF245D5C-D1B7-4FBB-A593-CEDF48F5E478}"/>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DE0724A8-BAC5-4195-8222-1F5E0433D3B4}"/>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265CB0FF-BAF5-4C5E-BE9B-0351770B9F97}"/>
    <dataValidation allowBlank="1" showInputMessage="1" promptTitle="介绍" prompt="街头混混一般都是些小年轻，弄不好还在寻觅加入真正黑帮的契机。不过他们的本事也就限于偷车，盗窃商店货物，抢钱或者夜盗。" sqref="B40:C40" xr:uid="{AF9181EE-D3FC-46BD-93AD-5E996512288C}"/>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E2322CB9-6BFF-4197-8132-8A906230E2C9}"/>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6F1BC0F7-9D96-4A10-ACED-EDF05255DB45}"/>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CA25A40E-1AAC-4D0B-AE8C-2B4F4E740C4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B62CEDEA-2D45-4AE4-A6B5-4F4A94676B07}"/>
    <dataValidation allowBlank="1" showErrorMessage="1" sqref="K33" xr:uid="{6C8E0A5F-D178-4815-98AE-CD5E5F375375}"/>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D321AB78-9DB9-4CC2-89EE-DDADD7B39919}"/>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C393D393-315C-4593-B489-08F5D30204B4}"/>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AC425B75-47A8-424F-ACC7-CE1348071231}"/>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14CB19F3-15FB-40DA-A76F-A454B8F693A6}"/>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81D86E05-A775-4FEC-B3B3-22E2948FC7DE}"/>
    <dataValidation allowBlank="1" showInputMessage="1" promptTitle="介绍" prompt="潜水员可能在军队执法机构或海绵采集海上救援环境保护甚至水下寻宝的民间机构工作。" sqref="B45:C45" xr:uid="{784F5DDC-12A3-4549-86F4-B17836131ED2}"/>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ADF720F2-9342-4555-A3D6-5882B2BE12B1}"/>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14208B01-3064-4C50-8D2E-2800BA8DA15A}"/>
    <dataValidation allowBlank="1" showInputMessage="1" promptTitle="介绍" prompt="人司机则是直接受雇于个人或企业，或者是专门提供连人带车的私人司机业务的中介机构。" sqref="B48:C48" xr:uid="{502D152B-A6E3-430F-BF6B-E53AAAD423A4}"/>
    <dataValidation allowBlank="1" showInputMessage="1" promptTitle="介绍" prompt="专职司机可能为企业个人工作，也可能拥有自己的出租车或货车。" sqref="B49:C49" xr:uid="{08F8EB8D-F44B-4D0A-9F23-2887D634ABFB}"/>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9A2CD151-7A12-40C4-8893-1F70C8271044}"/>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2B50525D-4A01-4BE7-93EF-B5B0827B81F3}"/>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CE0EEC56-1E9F-4240-B099-A39FD258E21D}"/>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16C8CE25-ACCF-4D29-9F71-0157C8F31C6D}"/>
    <dataValidation allowBlank="1" showInputMessage="1" promptTitle="介绍" prompt="工程师精通机械和电气设备，可能在民间或军工企业工作，也可能是个发明家。他们擅长应用科学、数学知识和丰富的创造思维，解决各种技术问题。" sqref="B53:C53" xr:uid="{7CCA569C-616D-40D3-8D1E-6714643B7D33}"/>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98CB09FD-C11E-4B6A-AC21-37EFD3B6D9F2}"/>
    <dataValidation allowBlank="1" showInputMessage="1" promptTitle="介绍" prompt="联邦执法机构和特工种类各异。有些身着制服，比如美国司法部的人员；另外一些则穿便服，工作内容也类似警探，比如联邦调查局的人员。" sqref="B57:C57" xr:uid="{CCEB6277-8D3F-4CE1-8D60-66CD12E4910B}"/>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48173D1C-40C0-436B-BC8E-4CECB0D7FD43}"/>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FE7AA4D8-C5AC-4431-BD49-72B3B86EE4E3}"/>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5C61F69B-BA23-4646-B954-E6C2B1A93C41}"/>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646AD993-263F-484C-992A-796B98412F48}"/>
    <dataValidation type="list" allowBlank="1" showInputMessage="1" showErrorMessage="1" promptTitle="Diving (01%)" prompt="使用者接受过在深海游泳的使用以及维持潜水设备的训练，水下导航，合适的下潜配重，以及应对紧急情况的方法。" sqref="K60" xr:uid="{8FF84687-D177-495B-8534-3E6EF155071E}">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44A5CD8D-B035-40A9-9634-B4B39FCB95C6}"/>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K61" xr:uid="{0D101FD6-365B-46DC-88FF-7C754CA5350C}">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A9EC63F2-5F17-4F24-BA0C-258DE446A13B}"/>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BCBE3021-C20F-40D1-938C-D20B871351B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3728F1-4689-4ABA-9274-1598FA4011DF}"/>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CABD538A-7025-4451-B2EB-BC6404A67CB8}"/>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6E1B8236-534D-4C61-B8B4-7EA6DC65E04B}"/>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9126FF45-0010-4EF3-BF63-5C0791D68657}"/>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3BFE8E2D-43BE-4DF7-A106-5C7B6A12FC09}"/>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B69C5119-5A12-453B-A996-F26D1D47422F}"/>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C90627AF-0DF5-43B7-BC0D-6D50C80463A8}"/>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AE871864-10D0-48EB-BBC8-EBFF7433309C}"/>
    <dataValidation allowBlank="1" showInputMessage="1" promptTitle="介绍" prompt="巡警则属于市、城镇、县治安部门或州、地区的警察机关。他们工作时可能步行、驾驶巡逻车，或者干脆坐办公室。" sqref="B92:C92" xr:uid="{735F9632-41C3-45F2-ADCE-1BAC9AF0B553}"/>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845FE47-5CD8-4BF2-865E-E23F8E8AA02A}"/>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19158C12-5ED0-4B38-91BA-300BDBD5D6B9}"/>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CD379587-614E-415A-9DF4-2C1A6AE0AE6E}"/>
    <dataValidation allowBlank="1" showInputMessage="1" promptTitle="介绍" prompt="博物馆管理员可能负责大学或其他公共机构的大型设施，也可能负责小一些的博物馆，往往对本地的地质或者其他的内容颇有研究。" sqref="B80:C80" xr:uid="{AD72B34B-0449-416D-8A1D-785D312135D4}"/>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A5D03114-EB5C-4607-83CB-D383AD04ADA2}"/>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86F2B0F9-8027-4FC3-8733-7D119DF7639B}"/>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5C4F479B-B118-40C0-803D-AF4A12E9056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443953C1-E7C2-44E7-B5B6-512066E79B76}"/>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8D7DFCC7-10ED-46CF-98AB-DCEF0B720109}"/>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CB98D499-F4A6-47E8-B931-885C7C429B29}"/>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BB22C11D-9934-4594-913D-9651889EFC3E}"/>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D3B5E1E0-4730-4A47-AD57-D8F34DB2B927}"/>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C7AF5B34-B149-46B9-B478-41E7A1949BA1}"/>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EB438B2D-D8B3-42D1-902E-5AD0BD9A815B}"/>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D4A39C8-7C89-4414-842A-D2AC2FDCEAF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ED9A6836-BF9E-4812-8496-3705C12525D8}"/>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E5FB6D67-6794-43DE-9665-2471F6A465CF}"/>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DA0BD1D3-3708-4F08-A46F-7F10416EAA9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6EAA6D58-4E92-467D-95B8-DD9D6F3436DC}"/>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74FED070-ADBF-4B45-BD79-B15525724921}"/>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D227638C-9532-47E9-A43D-CF08239F1E94}"/>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5A6128BB-89B2-4D32-B769-764BCAA4EE75}"/>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DCBFEFCF-776C-4815-8DC4-0B0A9E6C6C17}"/>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167AEBBA-3FAC-4555-AAF8-4986938AA871}"/>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6A27A329-8121-4B92-A1FC-73E9F6F387E7}"/>
    <dataValidation allowBlank="1" showInputMessage="1" promptTitle="介绍" prompt="学生可能在大学或学院学习，实习生则是正在接受宝贵的入职培训，获得最低报酬的公司员工。" sqref="B108:C108" xr:uid="{CC610B42-3B74-49FC-B910-4DC8C69D4374}"/>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E9644D11-05EC-47A5-BB40-316E41F29C8E}"/>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AFA65145-617B-4232-8036-ECAE7D6D73CA}"/>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A986CEE7-B70E-4FA9-A3E3-CFB9063285EA}"/>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470F648E-C1A6-4E31-9E6F-DBC53C08E451}"/>
    <dataValidation type="list" allowBlank="1" showInputMessage="1" showErrorMessage="1" sqref="K6:K7 K21:K22 K24:K25 K49:K50" xr:uid="{8B72EAD2-B8FF-4DC2-B348-494AB6415B94}">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K30:K32" xr:uid="{A2982CBC-3A97-4942-B427-D9565A3FCE2F}"/>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4DD0C656-0627-4393-934F-0F00014060BC}"/>
  </dataValidations>
  <pageMargins left="0.7" right="0.7" top="0.75" bottom="0.75" header="0.3" footer="0.3"/>
  <headerFooter>
    <oddFooter>&amp;C_x000D_&amp;1#&amp;"Aptos"&amp;8&amp;K000000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Xiao （肖乐乐）</dc:creator>
  <cp:lastModifiedBy>Lex Xiao （肖乐乐）</cp:lastModifiedBy>
  <dcterms:created xsi:type="dcterms:W3CDTF">2025-11-26T04:31:49Z</dcterms:created>
  <dcterms:modified xsi:type="dcterms:W3CDTF">2025-11-26T04:32:57Z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27cab5-59e6-424d-abbb-227cd06504a3_Enabled">
    <vt:lpwstr>true</vt:lpwstr>
  </property>
  <property fmtid="{D5CDD505-2E9C-101B-9397-08002B2CF9AE}" pid="3" name="MSIP_Label_5a27cab5-59e6-424d-abbb-227cd06504a3_SetDate">
    <vt:lpwstr>2025-11-26T04:32:52Z</vt:lpwstr>
  </property>
  <property fmtid="{D5CDD505-2E9C-101B-9397-08002B2CF9AE}" pid="4" name="MSIP_Label_5a27cab5-59e6-424d-abbb-227cd06504a3_Method">
    <vt:lpwstr>Privileged</vt:lpwstr>
  </property>
  <property fmtid="{D5CDD505-2E9C-101B-9397-08002B2CF9AE}" pid="5" name="MSIP_Label_5a27cab5-59e6-424d-abbb-227cd06504a3_Name">
    <vt:lpwstr>INTERNAL v2</vt:lpwstr>
  </property>
  <property fmtid="{D5CDD505-2E9C-101B-9397-08002B2CF9AE}" pid="6" name="MSIP_Label_5a27cab5-59e6-424d-abbb-227cd06504a3_SiteId">
    <vt:lpwstr>5d3e2773-e07f-4432-a630-1a0f68a28a05</vt:lpwstr>
  </property>
  <property fmtid="{D5CDD505-2E9C-101B-9397-08002B2CF9AE}" pid="7" name="MSIP_Label_5a27cab5-59e6-424d-abbb-227cd06504a3_ActionId">
    <vt:lpwstr>60729485-b646-493a-a9ab-d7c5f7c57e59</vt:lpwstr>
  </property>
  <property fmtid="{D5CDD505-2E9C-101B-9397-08002B2CF9AE}" pid="8" name="MSIP_Label_5a27cab5-59e6-424d-abbb-227cd06504a3_ContentBits">
    <vt:lpwstr>2</vt:lpwstr>
  </property>
  <property fmtid="{D5CDD505-2E9C-101B-9397-08002B2CF9AE}" pid="9" name="MSIP_Label_5a27cab5-59e6-424d-abbb-227cd06504a3_Tag">
    <vt:lpwstr>10, 0, 1, 1</vt:lpwstr>
  </property>
</Properties>
</file>